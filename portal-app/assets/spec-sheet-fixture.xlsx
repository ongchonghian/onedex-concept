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gtradextech.sharepoint.com/sites/ProductPlanning/Shared Documents/Business Development/07. DRP DFS POC/Data Schema and EForm/"/>
    </mc:Choice>
  </mc:AlternateContent>
  <xr:revisionPtr revIDLastSave="0" documentId="8_{48FBCA01-CE61-4EB9-8230-F19895AE75F4}" xr6:coauthVersionLast="47" xr6:coauthVersionMax="47" xr10:uidLastSave="{00000000-0000-0000-0000-000000000000}"/>
  <bookViews>
    <workbookView xWindow="-2664" yWindow="-13068" windowWidth="30936" windowHeight="12576" xr2:uid="{52643540-2E9F-3A48-9C5F-F597E8530FEF}"/>
  </bookViews>
  <sheets>
    <sheet name="DRP" sheetId="1" r:id="rId1"/>
    <sheet name="DFS" sheetId="2" r:id="rId2"/>
  </sheets>
  <definedNames>
    <definedName name="_xlnm._FilterDatabase" localSheetId="1" hidden="1">DFS!$C$1:$C$81</definedName>
    <definedName name="_xlnm._FilterDatabase" localSheetId="0" hidden="1">DRP!$C$1:$H$50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" i="1" l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80" i="2"/>
  <c r="A79" i="2"/>
  <c r="A78" i="2"/>
  <c r="A77" i="2"/>
  <c r="A76" i="2"/>
  <c r="A75" i="2"/>
  <c r="A74" i="2"/>
  <c r="A73" i="2"/>
  <c r="A72" i="2"/>
  <c r="A71" i="2"/>
  <c r="A69" i="2"/>
  <c r="A68" i="2"/>
  <c r="A70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B34" i="2"/>
  <c r="B71" i="2" s="1"/>
  <c r="B80" i="2"/>
  <c r="B79" i="2"/>
  <c r="B78" i="2"/>
  <c r="B77" i="2"/>
  <c r="B76" i="2"/>
  <c r="B75" i="2"/>
  <c r="B74" i="2"/>
  <c r="B73" i="2"/>
  <c r="B72" i="2"/>
  <c r="B68" i="2"/>
  <c r="B69" i="2"/>
  <c r="B70" i="2"/>
  <c r="B67" i="2"/>
  <c r="B66" i="2"/>
  <c r="B65" i="2"/>
  <c r="B64" i="2"/>
  <c r="B62" i="2"/>
  <c r="B63" i="2"/>
  <c r="B60" i="2"/>
  <c r="B61" i="2"/>
  <c r="B58" i="2"/>
  <c r="B59" i="2"/>
  <c r="B56" i="2"/>
  <c r="B57" i="2"/>
  <c r="B54" i="2"/>
  <c r="B55" i="2"/>
  <c r="B52" i="2"/>
  <c r="B53" i="2"/>
  <c r="B50" i="2"/>
  <c r="B51" i="2"/>
  <c r="A2" i="2"/>
  <c r="B2" i="2"/>
  <c r="B48" i="2"/>
  <c r="B49" i="2"/>
  <c r="B46" i="2"/>
  <c r="B47" i="2"/>
  <c r="B44" i="2"/>
  <c r="B45" i="2"/>
  <c r="B42" i="2"/>
  <c r="B43" i="2"/>
  <c r="B40" i="2"/>
  <c r="B41" i="2"/>
  <c r="B38" i="2"/>
  <c r="B39" i="2"/>
  <c r="B36" i="2"/>
  <c r="B37" i="2"/>
  <c r="B35" i="2"/>
  <c r="B32" i="2"/>
  <c r="B33" i="2"/>
  <c r="B30" i="2"/>
  <c r="B31" i="2"/>
  <c r="B28" i="2"/>
  <c r="B29" i="2"/>
  <c r="B26" i="2"/>
  <c r="B27" i="2"/>
  <c r="B24" i="2"/>
  <c r="B25" i="2"/>
  <c r="B22" i="2"/>
  <c r="B23" i="2"/>
  <c r="B20" i="2"/>
  <c r="B21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1" i="1"/>
  <c r="B50" i="1"/>
  <c r="B49" i="1"/>
  <c r="B48" i="1"/>
  <c r="B47" i="1"/>
  <c r="B46" i="1"/>
  <c r="B45" i="1"/>
  <c r="B44" i="1"/>
  <c r="B42" i="1"/>
  <c r="B43" i="1"/>
  <c r="B40" i="1"/>
  <c r="B41" i="1"/>
  <c r="B38" i="1"/>
  <c r="B39" i="1"/>
  <c r="B36" i="1"/>
  <c r="B37" i="1"/>
  <c r="B34" i="1"/>
  <c r="B35" i="1"/>
  <c r="B32" i="1"/>
  <c r="B33" i="1"/>
  <c r="B30" i="1"/>
  <c r="B31" i="1"/>
  <c r="B28" i="1"/>
  <c r="B29" i="1"/>
  <c r="B26" i="1"/>
  <c r="B27" i="1"/>
  <c r="B24" i="1"/>
  <c r="B25" i="1"/>
  <c r="B22" i="1"/>
  <c r="B23" i="1"/>
  <c r="B20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9" i="1"/>
  <c r="A7" i="1"/>
  <c r="A6" i="1"/>
  <c r="A5" i="1"/>
  <c r="A4" i="1"/>
  <c r="A3" i="1"/>
  <c r="A18" i="1"/>
  <c r="A19" i="1"/>
  <c r="A17" i="1"/>
  <c r="A16" i="1"/>
  <c r="A15" i="1"/>
  <c r="A14" i="1"/>
  <c r="A13" i="1"/>
  <c r="A12" i="1"/>
  <c r="A11" i="1"/>
  <c r="A10" i="1"/>
  <c r="A9" i="1"/>
  <c r="A8" i="1"/>
  <c r="A2" i="1"/>
</calcChain>
</file>

<file path=xl/sharedStrings.xml><?xml version="1.0" encoding="utf-8"?>
<sst xmlns="http://schemas.openxmlformats.org/spreadsheetml/2006/main" count="965" uniqueCount="404">
  <si>
    <t>No.</t>
  </si>
  <si>
    <t>Business Term</t>
  </si>
  <si>
    <t>Business Definition</t>
  </si>
  <si>
    <t>Mandatory / Optional</t>
  </si>
  <si>
    <t>Technical Data Field Name</t>
  </si>
  <si>
    <t>Data Field Type</t>
  </si>
  <si>
    <t>Data Validation Rule- Data Field Format</t>
  </si>
  <si>
    <t>Patient Identification Name</t>
  </si>
  <si>
    <t>Patient idenitfication name in NRIC</t>
  </si>
  <si>
    <t>Mandatory</t>
  </si>
  <si>
    <t>patient_id_nm</t>
  </si>
  <si>
    <t>string</t>
  </si>
  <si>
    <t>Patient Identification NRIC</t>
  </si>
  <si>
    <t>Patient identification NRIC</t>
  </si>
  <si>
    <t>patient_id_nric</t>
  </si>
  <si>
    <t>Min characters = 9, Max characters = 9 Alphas</t>
  </si>
  <si>
    <t>Patient Identification DOB</t>
  </si>
  <si>
    <t>Patient identification Date of Birth</t>
  </si>
  <si>
    <t>patient_id_dob</t>
  </si>
  <si>
    <t>Patient Identification Gender</t>
  </si>
  <si>
    <t>Patient identification Date Gender [i.e. Selection: 
1 - Female; 
2 - Male]</t>
  </si>
  <si>
    <t>patient_id_gender</t>
  </si>
  <si>
    <t>int8</t>
  </si>
  <si>
    <t>Min value = 1, Max value = 2</t>
  </si>
  <si>
    <t>Patient Medical Record Number</t>
  </si>
  <si>
    <t>Patient Medical Record Number generated by Clinic Management System [leave blank if Service Provider does not use Clinic Management System)</t>
  </si>
  <si>
    <t>Optional</t>
  </si>
  <si>
    <t>patient_id_mrn</t>
  </si>
  <si>
    <t>60 characters</t>
  </si>
  <si>
    <t>Service Provider Name</t>
  </si>
  <si>
    <t>Service provider name as in Healthcare Insititute Directory (HCI) or Unique Entity Number (UEN)</t>
  </si>
  <si>
    <t>sp_nm</t>
  </si>
  <si>
    <t>Service Provider HCI</t>
  </si>
  <si>
    <t>Service provider code as in Healthcare Insititute Directory (HCI) [leave blank if service provider is not registered with HCI]</t>
  </si>
  <si>
    <t>sp_hci</t>
  </si>
  <si>
    <t>Min characters = 7, Max characters = 7,  NOT NULL if sp_UEN = NULL</t>
  </si>
  <si>
    <t>Service Provider UEN</t>
  </si>
  <si>
    <t>Service provider Unique Entity Number (UEN) [fill in if service provider is not registered with HCI]</t>
  </si>
  <si>
    <t>sp_uen</t>
  </si>
  <si>
    <t>Min characters = 9, Max characters = 10 Alphas, NOT NULL if sp_hci = NULL</t>
  </si>
  <si>
    <t>Service Provider Personnel Name</t>
  </si>
  <si>
    <t>Service provider personnel name that capture the DRP image</t>
  </si>
  <si>
    <t>sp_personnel_nm</t>
  </si>
  <si>
    <t>Referring Clinic Name</t>
  </si>
  <si>
    <t>Referring clinic name as in Healthcare Insititute Directory (HCI)</t>
  </si>
  <si>
    <t>clinic_nm</t>
  </si>
  <si>
    <t>Referring Clinic HCI</t>
  </si>
  <si>
    <t>Referring clinic code as in Healthcare Insititute Directory (HCI)</t>
  </si>
  <si>
    <t>clinic_hci</t>
  </si>
  <si>
    <t>Min characters = 7, Max characters = 7</t>
  </si>
  <si>
    <t>Referring Clinic Clinician Name</t>
  </si>
  <si>
    <t>Referring clinician name as in Medical Council Registration</t>
  </si>
  <si>
    <t>clinc_clinician_nm</t>
  </si>
  <si>
    <t>Referring Clinic Clinician MCR</t>
  </si>
  <si>
    <t>Referring clinic Clinician Medical Council Registration number</t>
  </si>
  <si>
    <t>clinc_clinician_mcr</t>
  </si>
  <si>
    <t>Min characters = 7, Max characters = 7 Alphas</t>
  </si>
  <si>
    <t>Report Identification Number</t>
  </si>
  <si>
    <t>Report unique identification number</t>
  </si>
  <si>
    <t>report_id</t>
  </si>
  <si>
    <t>Report Date Time</t>
  </si>
  <si>
    <t>report_dt</t>
  </si>
  <si>
    <t xml:space="preserve">date-time </t>
  </si>
  <si>
    <t>Report Version Number</t>
  </si>
  <si>
    <t>Report Version number</t>
  </si>
  <si>
    <t>report_ver</t>
  </si>
  <si>
    <t>Minimum value = 1</t>
  </si>
  <si>
    <t>Photography Image Left Eye</t>
  </si>
  <si>
    <t>DRP photography image left eye</t>
  </si>
  <si>
    <t>photo_le</t>
  </si>
  <si>
    <t>array</t>
  </si>
  <si>
    <t>Photography Image Right Eye</t>
  </si>
  <si>
    <t>DRP photography image right eye</t>
  </si>
  <si>
    <t>photo_re</t>
  </si>
  <si>
    <t>Visual Acuity Unaided or Aided Left Eye</t>
  </si>
  <si>
    <t>Habitual visual acuity left eye unaided or aided [i.e. True = Unaided, False = Aided]</t>
  </si>
  <si>
    <t>va_unaidedaided_le</t>
  </si>
  <si>
    <t>Boolean</t>
  </si>
  <si>
    <t>Visual Acuity Unaided or Aided Right Eye</t>
  </si>
  <si>
    <t>Habitual visual acuity right eye unaided or aided [i.e. True = Unaided, False = Aided]</t>
  </si>
  <si>
    <t>va_unaidedaided_re</t>
  </si>
  <si>
    <t>Visual Acuity Left Eye</t>
  </si>
  <si>
    <t>Habitual visual acuity left eye [i.e. Free Text]</t>
  </si>
  <si>
    <t>va_le</t>
  </si>
  <si>
    <t>Visual Acuity Right Eye</t>
  </si>
  <si>
    <t>Habitual visual acuity right eye [i.e. Free Text]</t>
  </si>
  <si>
    <t>va_re</t>
  </si>
  <si>
    <t>Visual Acuity Left Eye Pinhole</t>
  </si>
  <si>
    <t>Habitual visual acuity left eye with Pinhole [i.e. Free Text]</t>
  </si>
  <si>
    <t>va_pinhole_le</t>
  </si>
  <si>
    <t>Visual Acuity Right Eye Pinhole</t>
  </si>
  <si>
    <t>Habitual visual acuity right eye with Pinhole [i.e Free Text]</t>
  </si>
  <si>
    <t>va_pinhole_re</t>
  </si>
  <si>
    <t>Retinal Assessment Dilation Left Eye</t>
  </si>
  <si>
    <t>Retinal assessment with dilation performed on left eye [i.e. True = Yes, False = No]</t>
  </si>
  <si>
    <t>retinal_ax_dilation_le</t>
  </si>
  <si>
    <t>Retinal Assessment Dilation Right Eye</t>
  </si>
  <si>
    <t>Retinal assessment with dilation performed on right eye [i.e. True = Yes, False = No]</t>
  </si>
  <si>
    <t>retinal_ax_dilation_re</t>
  </si>
  <si>
    <t>Retinal Assessment Fundus Image Quality Left Eye</t>
  </si>
  <si>
    <t>Retinal asessment Fundus image quality of left eye [i.e. True = Gradable, False = Ungradable]</t>
  </si>
  <si>
    <t>retinal_ax_fundus_le</t>
  </si>
  <si>
    <t>Retinal Assessment Fundus Image Quality Right Eye</t>
  </si>
  <si>
    <t>Retinal asessment Fundus image quality of right eye [i.e. True = Gradable, False = Ungradable]</t>
  </si>
  <si>
    <t>retinal_ax_fundus_re</t>
  </si>
  <si>
    <t>Retinal Assessment Media Opacity Left Eye</t>
  </si>
  <si>
    <t>Retinal assessment of left eye media opacity [i.e. True = media opacity, False = no media opacity]</t>
  </si>
  <si>
    <t>retinal_ax_opacity_le</t>
  </si>
  <si>
    <t>Retinal Assessment Media Opacity Right Eye</t>
  </si>
  <si>
    <t>Retinal assessment of right eye media opacity [i.e. True = media opacity, False = no media opacity]</t>
  </si>
  <si>
    <t>retinal_ax_opacity_re</t>
  </si>
  <si>
    <t>Retinal Assessment Diabetic Retinopathy Left Eye</t>
  </si>
  <si>
    <t xml:space="preserve">Retinal assessment diabetic retinopathy of left eye [i.e. Selection: 
1 - No diabetic retinopathy
2 - Pre Non-proliferative diabetic retinopathy (NPDR) or Mild NPDR
3 - Moderate, Severe or Very severe NPDR
4 - Proliferative retinopathy
5 - Unknown severity] </t>
  </si>
  <si>
    <t>retinal_ax_dr_le</t>
  </si>
  <si>
    <t>Min value = 1, Max value = 5</t>
  </si>
  <si>
    <t>Retinal Assessment Diabetic Retinopathy Right Eye</t>
  </si>
  <si>
    <t xml:space="preserve">Retinal assessment diabetic retinopathy of right eye [i.e. Selection: 
1 - No diabetic retinopathy
2 - Pre Non-proliferative diabetic retinopathy (NPDR) or Mild NPDR
3 - Moderate, Severe or Very severe NPDR
4 - Proliferative retinopathy
5 - Unknown severity] </t>
  </si>
  <si>
    <t>retinal_ax_dr_re</t>
  </si>
  <si>
    <t>Retinal Assessment Diabetic Maculopathy Left Eye</t>
  </si>
  <si>
    <t>Retinal asssement diabetic maculopathy of left eye [i.e. True = No Diabetic Maculopathy, False =  Diabetic Maculopathy Present]</t>
  </si>
  <si>
    <t>retinal_ax_dm_le</t>
  </si>
  <si>
    <t>Retinal Assessment Diabetic Maculop athy Right Eye</t>
  </si>
  <si>
    <t>Retinal asssement diabetic maculopathy of right eye [i.e. True = No Diabetic Maculopathy, False =  Diabetic Maculopathy Present]</t>
  </si>
  <si>
    <t>retinal_ax_dm_re</t>
  </si>
  <si>
    <t>Retinal Assessment Treated Diabetic Retinopathy or Diabetic Maculopathy Left Eye</t>
  </si>
  <si>
    <t>Retinal assessment treated diabetic retinopathy or diabetic maculopathy of left eye [i.e. True = Yes, False = No]</t>
  </si>
  <si>
    <t>retinal_ax_treated_le</t>
  </si>
  <si>
    <t>Retinal Assessment Treated Diabetic Retinopathy or Diabetic Maculopathy Right Eye</t>
  </si>
  <si>
    <t>Retinal assessment treated diabetic retinopathy or diabetic maculopathy of right eye[i.e. True = Yes, False = No]</t>
  </si>
  <si>
    <t>retinal_ax_treated_re</t>
  </si>
  <si>
    <t>Retinal Assessment Previous Laser Treatment Left Eye</t>
  </si>
  <si>
    <t>Retinal assessment evidence of previous laser treatment of left eye[i.e. True = Yes, False = No]</t>
  </si>
  <si>
    <t>retinal_ax_laser_le</t>
  </si>
  <si>
    <t>Retinal Assessment Previous Laser Treatment Right Eye</t>
  </si>
  <si>
    <t>Retinal assessment evidence of previous laser treatment of right eye[i.e. True = Yes, False = No]</t>
  </si>
  <si>
    <t>retinal_ax_laser_re</t>
  </si>
  <si>
    <t>Retinal Assessment Other Incidental Findings Left Eye</t>
  </si>
  <si>
    <t>Retinal assessment incidental findings of left eye [i.e. Free Text, e.g. Glaucoma, Retinal Detachment]</t>
  </si>
  <si>
    <t>retinal_ax_findings_le</t>
  </si>
  <si>
    <t>String</t>
  </si>
  <si>
    <t>Retinal Assessment Other Incidental Findings Right Eye</t>
  </si>
  <si>
    <t>Retinal assessment incidental findings of right eye [i.e. Free Text, e.g. Glaucoma, Retinal Detachment]</t>
  </si>
  <si>
    <t>retinal_ax_findings_re</t>
  </si>
  <si>
    <t>Recommended Management Plan Main Findings Left Eye</t>
  </si>
  <si>
    <t>Recommended management plan main findings of left eye [i.e. Free Text]</t>
  </si>
  <si>
    <t>recommended_mgmt_findings_le</t>
  </si>
  <si>
    <t>Recommended Management Plan Main Findings Right Eye</t>
  </si>
  <si>
    <t>Recommended management plan main findings of right eye [i.e. Free Text]</t>
  </si>
  <si>
    <t>recommended_mgmt_findings_re</t>
  </si>
  <si>
    <t>Recommended Management Plan Followup Actions</t>
  </si>
  <si>
    <t>Recommended management followup actions [i.e. Selection: 
1 - Normal screening results, continue annual screening; 
2 - Require referral to A&amp;E;
3 - Require referral to opthalmologist / additional actions within 2 weeks;
4 - Require referral to opthalmologist / additional actions within 1 month;
5 - Require referral to opthalmologist / additional actions within 3 months;
6 - Others (describe in Recommended Management Plan Others)]</t>
  </si>
  <si>
    <t>recommended_mgmt_actions</t>
  </si>
  <si>
    <t>Min value = 1, Max value = 6</t>
  </si>
  <si>
    <t>Recommended Management Plan Others</t>
  </si>
  <si>
    <t>Recommended management follow up actions - Others [i.e. Free Text]</t>
  </si>
  <si>
    <t>recommended_mgmt_others</t>
  </si>
  <si>
    <t>IF recommended_mgmt_actions = 6, recommended_mgmt_others = NOT NULL</t>
  </si>
  <si>
    <t>Recommended Management Plan Remarks</t>
  </si>
  <si>
    <t>Recommended management other remarks [i.e. Free Text]</t>
  </si>
  <si>
    <t>recommended_mgmt_remarks</t>
  </si>
  <si>
    <t>Reader Centre Name</t>
  </si>
  <si>
    <t>Reader centre name as in Healthcare Insititute Directory (HCI) or Unique Entity Number (UEN)</t>
  </si>
  <si>
    <t>reader_nm</t>
  </si>
  <si>
    <t>Reader Centre HCI</t>
  </si>
  <si>
    <t>Reader centre code as in Healthcare Insititute Directory (HCI) [leave blank if reader centre is not registered with HCI]</t>
  </si>
  <si>
    <t>reader_hci</t>
  </si>
  <si>
    <t>Reader Centre UEN</t>
  </si>
  <si>
    <t>Reader centre Unique Entity Number (UEN) [fill in if reader centre is not registered with HCI]</t>
  </si>
  <si>
    <t>reader_uen</t>
  </si>
  <si>
    <t>Min characters = 9, Max characters = 10 Alphas</t>
  </si>
  <si>
    <t>Reader Centre Personnel Name</t>
  </si>
  <si>
    <t>Reader Centre personnel name</t>
  </si>
  <si>
    <t>reader_personnel_nm</t>
  </si>
  <si>
    <t>Classification</t>
  </si>
  <si>
    <t>Applicable Standard Name</t>
  </si>
  <si>
    <t>Applicable Standard - Local / International</t>
  </si>
  <si>
    <t>Document</t>
  </si>
  <si>
    <t>ICA</t>
  </si>
  <si>
    <t>Local</t>
  </si>
  <si>
    <t>ISO 8601</t>
  </si>
  <si>
    <t>International</t>
  </si>
  <si>
    <t>NA</t>
  </si>
  <si>
    <t>NEHR</t>
  </si>
  <si>
    <t>HCI</t>
  </si>
  <si>
    <t>ACRA</t>
  </si>
  <si>
    <t>Service provider personnel name that provide DFS</t>
  </si>
  <si>
    <t>Referring Clinician name as in Medical Council Registration</t>
  </si>
  <si>
    <t>Register of Medical Practitioner</t>
  </si>
  <si>
    <t>Medical History Last DFS Done</t>
  </si>
  <si>
    <t>Medical history date of last performed DFS [leave blank if last DFS not performed by service provider]</t>
  </si>
  <si>
    <t>med_hist_last_dfs</t>
  </si>
  <si>
    <t>date-time</t>
  </si>
  <si>
    <t>MMYYYY</t>
  </si>
  <si>
    <t>Medical History CKD Stage 5</t>
  </si>
  <si>
    <t>Medical history of Chronic Kidney Disease (CKD) reached stage 5,  estimated Glomerular Filtration Rate (eGFR) &lt;15ml/min/1.73m2 [i.e. True = Yes, False = No]</t>
  </si>
  <si>
    <t>2019 ACE ACG on Foot Asessments in Persons with Diabetes Mellitus</t>
  </si>
  <si>
    <t>med_hist_ckd</t>
  </si>
  <si>
    <t>Medical History Active Followup Left Foot</t>
  </si>
  <si>
    <t>Medical history active followup of left foot, i.e. with hospital specialist outpatient clinics for foot care, vascular, orthopaedics, specialised wound clinics, or podiatry [i.e. True = Yes, False = No]</t>
  </si>
  <si>
    <t>med_hist_followup_lf</t>
  </si>
  <si>
    <t>Medical History Active Followup Right Foot</t>
  </si>
  <si>
    <t>Medical history active followup of right foot, i.e. with hospital specialist outpatient clinics for foot care, vascular, orthopaedics, specialised wound clinics, or podiatry [i.e. True = Yes, False = No]</t>
  </si>
  <si>
    <t>med_hist_followup_rf</t>
  </si>
  <si>
    <t>Medical History Previous Ulcer Left Foot</t>
  </si>
  <si>
    <t>Medical history of previous ulcer on left foot [i.e. True = Yes, False = No]</t>
  </si>
  <si>
    <t>med_hist_ulcer_lf</t>
  </si>
  <si>
    <t>Medical History Previous Ulcer Right Foot</t>
  </si>
  <si>
    <t>Medical history of previous ulcer on right foot [i.e. True = Yes, False = No]</t>
  </si>
  <si>
    <t>med_hist_ulcer_rf</t>
  </si>
  <si>
    <t>Medical History Orthopaedic Vascular Left Foot</t>
  </si>
  <si>
    <t>Medical history of previous orthopaedic or vascular procedures for diabetic foot complications on left foot [i.e. Selection: 
1 - NA;
2 - Foot/toe amputation(s);
3 - Below-Knee Amputation (BKA);
4 - Above-Knee Amputation (AKA);
5 - Vascular intervention (e.g. angioplasty);
6 - Others (e.g. wound debridement, describe in medical history details of left foot))] [Allow multiple selection]</t>
  </si>
  <si>
    <t>med_hist_ortho_vascular_lf</t>
  </si>
  <si>
    <t>Array</t>
  </si>
  <si>
    <t>Contains 1 or more selections</t>
  </si>
  <si>
    <t>Medical History Orthopaedic Vascular Right Foot</t>
  </si>
  <si>
    <t>Medical history of previous orthopaedic or vascular procedures for diabetic foot complications on right foot [i.e. Selection: 
1 - NA;
2 - Foot/toe amputation(s);
3 - Below-Knee Amputation (BKA);
4 - Above-Knee Amputation (AKA);
5 - Vascular intervention (e.g. angioplasty);
6 - Others (e.g. wound debridement, describe in medical history details of right foot)] [Allow multiple selection]</t>
  </si>
  <si>
    <t>med_hist_ortho_vascular_rf</t>
  </si>
  <si>
    <t>Medical History Details Left Foot</t>
  </si>
  <si>
    <t>Medical history details of left foot</t>
  </si>
  <si>
    <t>med_hist_details_lf</t>
  </si>
  <si>
    <t>IFmed_hist_ortho_vascular_rf = 6, foot_care_edu_materials_others = NOT NULL</t>
  </si>
  <si>
    <t>Medical History Details Right Foot</t>
  </si>
  <si>
    <t>Medical history details of right foot</t>
  </si>
  <si>
    <t>med_hist_details_rf</t>
  </si>
  <si>
    <t>IFmed_hist_ortho_vascular_lf = 6, foot_care_edu_materials_others = NOT NULL</t>
  </si>
  <si>
    <t>Symptoms Pain Functional Impairment Left Foot</t>
  </si>
  <si>
    <t>Symptoms of pain or functional impairment from deformity of left foot [Selection:
Y - Yes
N - No
NA - Foot Amputated]</t>
  </si>
  <si>
    <t>sx_pain_funct_impair_lf</t>
  </si>
  <si>
    <t xml:space="preserve">Value = Y, N or NA
</t>
  </si>
  <si>
    <t>Symptoms Pain Functional Impairment Right Foot</t>
  </si>
  <si>
    <t>Symptoms of pain or functional impairment from deformity of right foot [Selection:
Y - Yes
N - No
NA - Foot Amputated]</t>
  </si>
  <si>
    <t>sx_pain_funct_impair_rf</t>
  </si>
  <si>
    <t>Symptoms Rest Pain Left Foot</t>
  </si>
  <si>
    <t>Symptoms rest pain of left foot [Selection:
Y - Yes
N - No
NA - Foot Amputated]</t>
  </si>
  <si>
    <t>sx_rest_pain_lf</t>
  </si>
  <si>
    <t>Symptoms Rest Pain Right Foot</t>
  </si>
  <si>
    <t>Symptoms rest pain of right foot [Selection:
Y - Yes
N - No
NA - Foot Amputated]</t>
  </si>
  <si>
    <t>sx_rest_pain_rf</t>
  </si>
  <si>
    <t>Symptoms Claudication Left Foot</t>
  </si>
  <si>
    <t>Symptoms claudication of left foot [Selection:
Y - Yes
N - No
NA - Foot Amputated]</t>
  </si>
  <si>
    <t>sx_claudication_lf</t>
  </si>
  <si>
    <t>Symptoms Claudication Right Foot</t>
  </si>
  <si>
    <t>Symptoms claudication of right foot [Selection:
Y - Yes
N - No
NA - Foot Amputated]</t>
  </si>
  <si>
    <t>sx_claudication_rf</t>
  </si>
  <si>
    <t>Symptoms Paraesthesia Left Foot</t>
  </si>
  <si>
    <t>Symptoms paraesthesia of left foot [Selection:
Y - Yes
N - No
NA - Foot Amputated]</t>
  </si>
  <si>
    <t>sx_paraesthesia_lf</t>
  </si>
  <si>
    <t>Symptoms Paraesthesia Right Foot</t>
  </si>
  <si>
    <t>Symptoms paraesthesia of right foot [Selection:
Y - Yes
N - No
NA - Foot Amputated]</t>
  </si>
  <si>
    <t>sx_paraesthesia_rf</t>
  </si>
  <si>
    <t>Inspection Active Ulcer Left Foot</t>
  </si>
  <si>
    <t>Inspection active ulcer of left foot [Selection:
Y - Yes
N - No
NA - Foot Amputated]</t>
  </si>
  <si>
    <t>insp_ulcer_lf</t>
  </si>
  <si>
    <t>Inspection Active Ulcer Right Foot</t>
  </si>
  <si>
    <t>Inspection active ulcer of right foot [Selection:
Y - Yes
N - No
NA - Foot Amputated]</t>
  </si>
  <si>
    <t>insp_ulcer_rf</t>
  </si>
  <si>
    <t>Inspection Cellulities Left Foot</t>
  </si>
  <si>
    <t>Inspection cellulitis of left foot [Selection:
Y - Yes
N - No
NA - Foot Amputated]</t>
  </si>
  <si>
    <t>insp_cellulities_lf</t>
  </si>
  <si>
    <t>Inspection Cellulities Right Foot</t>
  </si>
  <si>
    <t>Inspection cellulitis of right foot [Selection:
Y - Yes
N - No
NA - Foot Amputated]</t>
  </si>
  <si>
    <t>insp_cellulities_rf</t>
  </si>
  <si>
    <t>Inspection Active Charcot Left Foot</t>
  </si>
  <si>
    <t>Inspection active charcot of left foot [Selection:
Y - Yes
N - No
NA - Foot Amputated]</t>
  </si>
  <si>
    <t>insp_charcot_lf</t>
  </si>
  <si>
    <t>Inspection Active Charcot Right Foot</t>
  </si>
  <si>
    <t>Inspection active charcot of right foot [Selection:
Y - Yes
N - No
NA - Foot Amputated]</t>
  </si>
  <si>
    <t>insp_charcot_rf</t>
  </si>
  <si>
    <t>Inspection Ingrown Toenail Left Foot</t>
  </si>
  <si>
    <t>Inspection ingrown toenail of left foot [Selection:
Y - Yes
N - No
NA - Foot Amputated]</t>
  </si>
  <si>
    <t>insp_toenail_lf</t>
  </si>
  <si>
    <t>Inspection Ingrown Toenail Right Foot</t>
  </si>
  <si>
    <t>Inspection ingrown toenail of right foot [Selection:
Y - Yes
N - No
NA - Foot Amputated]</t>
  </si>
  <si>
    <t>insp_toenail_rf</t>
  </si>
  <si>
    <t>Inspection Callus Left Foot</t>
  </si>
  <si>
    <t>Inspection callus of left foot [Selection:
Y - Yes
N - No
NA - Foot Amputated]</t>
  </si>
  <si>
    <t>insp_callus_lf</t>
  </si>
  <si>
    <t>Inspection Callus Right Foot</t>
  </si>
  <si>
    <t>Inspection callus of right foot [Selection:
Y - Yes
N - No
NA - Foot Amputated]</t>
  </si>
  <si>
    <t>insp_callus_rf</t>
  </si>
  <si>
    <t>Inspection Deformity Left Foot</t>
  </si>
  <si>
    <t>Inspection deformity of left foot [Selection:
Y - Yes
N - No
NA - Foot Amputated]</t>
  </si>
  <si>
    <t>insp_deformity_lf</t>
  </si>
  <si>
    <t>Inspection Deformity Right Foot</t>
  </si>
  <si>
    <t>Inspection deformity of right foot [Selection:
Y - Yes
N - No
NA - Foot Amputated]</t>
  </si>
  <si>
    <t>insp_deformity_rf</t>
  </si>
  <si>
    <t>Inspection Photography Image Left Foot Attachment Filename</t>
  </si>
  <si>
    <t>Inspection photography image or diagram of left foot attachment [filename with extension, maximum 5 attachments]</t>
  </si>
  <si>
    <t>insp_photo_lf_filename</t>
  </si>
  <si>
    <t>Max 5 attachments</t>
  </si>
  <si>
    <t>Inspection Photography Image Right Foot Attachment Filename</t>
  </si>
  <si>
    <t>Inspection photography image or diagram of right foot attachment [filename with extension, maximum 5 attachments]</t>
  </si>
  <si>
    <t>insp_photo_rf_filename</t>
  </si>
  <si>
    <t>Vascular Examination Pedal Pulse Left Foot</t>
  </si>
  <si>
    <t>Vascular examination pedal pulse of left foot [Selection:
Y - Yes
N - No
NA - Foot Amputated]</t>
  </si>
  <si>
    <t>vascular_exam_pedal_pulse_lf</t>
  </si>
  <si>
    <t>Vascular Examination Pedal Pulse Right Foot</t>
  </si>
  <si>
    <t>Vascular examination pedal pulse of right foot [Selection:
Y - Yes
N - No
NA - Foot Amputated]</t>
  </si>
  <si>
    <t>vascular_exam_pedal_pulse_rf</t>
  </si>
  <si>
    <t>Vascular Examination Ankle Brachial Pressure Index Left Foot</t>
  </si>
  <si>
    <t>Vascular examination Ankle-Brachial Pressure Index (ABPI) of left foot [one decimal place] [provide if pedal pulse is absent] [provide if Absolute
Systolic Toe Pressure (ASTP) is not provided]</t>
  </si>
  <si>
    <t>vascular_exam_abpi_lf</t>
  </si>
  <si>
    <t>Single</t>
  </si>
  <si>
    <t>Vascular Examination Ankle Brachial Pressure Index Right Foot</t>
  </si>
  <si>
    <t>Vascular examination Ankle-Brachial Pressure Index (ABPI) of right foot [one decimal place] [provide if pedal pulse is absent] [provide if Absolute
Systolic Toe Pressure (ASTP) is not provided]</t>
  </si>
  <si>
    <t>vascular_exam_abpi_rf</t>
  </si>
  <si>
    <t>Vascular Examination Absolute Systolic Toe Pressure Left Foot</t>
  </si>
  <si>
    <t>Vascular examination Absolute Systolic Toe Pressure (ASTP) of left foot [unit mmHg] [provide if pedal pulse is absent] [provide if ABPI is not provided]</t>
  </si>
  <si>
    <t>vascular_exam_astp_lf</t>
  </si>
  <si>
    <t>int16</t>
  </si>
  <si>
    <t>IF vascular_exam_pedal_pulse_lf = False AND vascular_exam_abpi_lf = Null, Not Null</t>
  </si>
  <si>
    <t>Vascular Examination Absolute Systolic Toe Pressure Right Foot</t>
  </si>
  <si>
    <t>Vascular examination Absolute Systolic Toe Pressure (ASTP) of right foot [unit mmHg] [provide if pedal pulse is absent] [provide if ABPI is not provided]</t>
  </si>
  <si>
    <t>vascular_exam_astp_rf</t>
  </si>
  <si>
    <t>IF vascular_exam_pedal_pulse_rf = False AND vascular_exam_abpi_rf = Null, Not Null</t>
  </si>
  <si>
    <t>Neurological Examination Peripheral Neuropathy Left Foot</t>
  </si>
  <si>
    <t>Neurological examination presence of peripheral neuropathy in left foot [Selection:
Y - Yes
N - No
NA - Foot Amputated]</t>
  </si>
  <si>
    <t>neuro_exam_pn_lf</t>
  </si>
  <si>
    <t>Neurological Examination Peripheral Neuropathy Right Foot</t>
  </si>
  <si>
    <t>Neurological examination presence of peripheral neuropathy in right foot [Selection:
Y - Yes
N - No
NA - Foot Amputated]</t>
  </si>
  <si>
    <t>neuro_exam_pn_rf</t>
  </si>
  <si>
    <t>Neurological Examination Peripheral Neuropathy Assessment Monofilament Test Left Foot</t>
  </si>
  <si>
    <t>Neurological examination peripheral neuropathy assessment using monofilament test on left foot [i.e. number of sites sensation detected, _/4] [Provide assessment either for Monofilament, Tuning Fork or Neurothesiometer]</t>
  </si>
  <si>
    <t>neuro_exam_swm_lf</t>
  </si>
  <si>
    <t>Minimum value = 1, Max value = 4
If neuro_exam_fork_lf = Null AND neuro_exam_neurothesiometer_lf = Null, Not Null</t>
  </si>
  <si>
    <t>Neurological Examination Peripheral Neuropathy Assessment Monofilament Test Right Foot</t>
  </si>
  <si>
    <t>Neurological examination peripheral neuropathy assessment using monofilament test on right foot [i.e. number of sites sensation detected, _/4] [Provide assessment either for Monofilament, Tuning Fork or Neurothesiometer]</t>
  </si>
  <si>
    <t>neuro_exam_swm_rf</t>
  </si>
  <si>
    <t>Minimum value = 1, Max value = 4
If neuro_exam_fork_rf = Null AND neuro_exam_neurothesiometer_rf = Null, Not Null</t>
  </si>
  <si>
    <t>Neurological Examination Peripheral Neuropathy Assessment Tuning Fork Left Foot</t>
  </si>
  <si>
    <t>Neurological examination peripheral neuropathy assessment using 128Hz tuning fork on left foot [i.e. True = Able to feel tuning fork, False = Unable to feel tuning fork] [Provide assessment either for Monofilament, Tuning Fork or Neurothesiometer]</t>
  </si>
  <si>
    <t>neuro_exam_fork_lf</t>
  </si>
  <si>
    <t>If neuro_exam_swm_lf = Null AND neuro_exam_neurothesiometer_lf = Null, Not Null</t>
  </si>
  <si>
    <t>Neurological Examination Peripheral Neuropathy Assessment Tuning Fork Right Foot</t>
  </si>
  <si>
    <t>Neurological examination peripheral neuropathy assessment using 128Hz tuning fork on right foot [i.e. True = Able to feel tuning fork, False = Unable to feel tuning fork] [Provide assessment either for Monofilament, Tuning Fork or Neurothesiometer]</t>
  </si>
  <si>
    <t>neuro_exam_fork_rf</t>
  </si>
  <si>
    <t>If neuro_exam_swm_rf = Null AND neuro_exam_neurothesiometer_rf = Null, Not Null</t>
  </si>
  <si>
    <t>Neurological Examination Peripheral Neuropathy Assessment Neurothesiometer Left Foot</t>
  </si>
  <si>
    <t>Neurological examination peripheral neuropathy assessment using neurothesiometer on left foot [i.e. True = Felt vibration at ≤25 V, False = Felt vibration at &gt;25 V or unable to feel vibration] [Provide assessment either for Monofilament, Tuning Fork or Neurothesiometer]</t>
  </si>
  <si>
    <t>neuro_exam_neurothesiometer_lf</t>
  </si>
  <si>
    <t>If neuro_exam_swm_lf = Null AND neuro_exam_fork_lf = Null, Not Null</t>
  </si>
  <si>
    <t>Neurological Examination Peripheral Neuropathy Assessment Neurothesiometer Right Foot</t>
  </si>
  <si>
    <t>Neurological examination peripheral neuropathy assessment using neurothesiometer on right foot [i.e. True = Felt vibration at ≤25 V, False = Felt vibration at &gt;25 V or unable to feel vibration] [Provide assessment either for Monofilament, Tuning Fork or Neurothesiometer]</t>
  </si>
  <si>
    <t>neuro_exam_neurothesiometer_rf</t>
  </si>
  <si>
    <t>If neuro_exam_swm_rf = Null AND neuro_exam_fork_rf = Null, Not Null</t>
  </si>
  <si>
    <t>Other Findings Footwear Assessment Indoors</t>
  </si>
  <si>
    <t>Footwear assessment for indoors  [i.e. Selection:
1 - Covered Footwear;
2 - Sandals;
3 - Slippers;
4 - Others (describe in Other Findings Footwear Assessment Indoor Others)] [Allow multiple selection]</t>
  </si>
  <si>
    <t>other_findings_footwear_indoors</t>
  </si>
  <si>
    <t>Other Findings Footwear Assessment Indoors Others</t>
  </si>
  <si>
    <t>Footwear assessment for indoors - Others Free Text</t>
  </si>
  <si>
    <t>other_findings_footwear_indoors_others</t>
  </si>
  <si>
    <t>IF other_findings_footwear_indoors = 4, other_findings_footwear_indoors_others = NOT NULL</t>
  </si>
  <si>
    <t>Other Findings Footwear Assessment Outdoors</t>
  </si>
  <si>
    <t>Footwear assessment for outdoors  [i.e. Selection:
1 - Covered Footwear;
2 - Sandals;
3 - Slippers;
4 - Others (describe in Other Findings Footwear Assessment Outdoor Others)] [Allow multiple selection]</t>
  </si>
  <si>
    <t>other_findings_footwear_outdoors</t>
  </si>
  <si>
    <t>Other Findings Footwear Assessment Outdoors Others</t>
  </si>
  <si>
    <t>Footwear assessment for outdoors - Others Free Text</t>
  </si>
  <si>
    <t>other_findings_footwear_outdoors_others</t>
  </si>
  <si>
    <t>IF other_findings_footwear_outdoors = 4, other_findings_footwear_outdoors_others = NOT NULL</t>
  </si>
  <si>
    <t>Other Findings Other Examination Findings Left Foot</t>
  </si>
  <si>
    <t>Other examination findings of left foot [i.e. Free Text]</t>
  </si>
  <si>
    <t>other_findings_other_exam_findings_lf</t>
  </si>
  <si>
    <t>Other Findings Other Examination Findings Right Foot</t>
  </si>
  <si>
    <t>Other examination findings of right foot [i.e. Free Text]</t>
  </si>
  <si>
    <t>other_findings_other_exam_findings_rf</t>
  </si>
  <si>
    <t>Other Findings Footwear Assessment Remarks</t>
  </si>
  <si>
    <t>Footwear assessment remarks [i.e. Free Text]</t>
  </si>
  <si>
    <t>other_findings_footwear_remarks</t>
  </si>
  <si>
    <t>Summary Management Risk Tier</t>
  </si>
  <si>
    <t>Summary management risk tier [i.e. Selection:
1 - Low risk (none); 
2 - Low risk (simple callus);
3 - Moderate risk (thick callus requiring treatment); 
4 - Moderate risk (deformity with simple callus or thick callus requiring treatment);
5 - Moderate risk (deformity only);
6 - Moderate risk (Peripheral Arterial Disease PAD only);
7 - Moderate risk (neuropathy only);
8 - High risk (previous foot ulcer or amputation);
9 - High risk (Chronic Kidney Disease (CKD) stage 5 (estimated Glomerular Filtration Rate (eGFR) &lt;15ml/min/1.73m2);
10 - High risk (callus with intradermal bleeding); 
11 - High risk (deformity or any callus and PAD)
12 - High risk (deformity or any callus and Neuropathy)
13 - High risk (PAD and Neuropathy)
14 - High risk (deformity or any callus and PAD and Neuropathy)
15 - Progressed to active diabetic foot condition] [Allow multiple selection]</t>
  </si>
  <si>
    <t>summary_mgmt_risk_tier</t>
  </si>
  <si>
    <t>Contains 1 or more selections. All selections have to be within same risk tier, except for selection 15.</t>
  </si>
  <si>
    <t>Summary Management Active Diabetic Foot Condition</t>
  </si>
  <si>
    <t>Summary management of active diabetic foot condition [i.e. Selection: 
1 - Signs of inflammation, infection, or acute Charcot arthropathy; 
2 - Cellulitis or pus from wound;
3 - Gangrene; 
4 - Tissue loss (ulcer or blister)] [Allow multiple selection]</t>
  </si>
  <si>
    <t>summary_mgmt_active_diabetic_foot_cond</t>
  </si>
  <si>
    <t>Contains 1 or more selections
IF summary_mgmt_risk_tier = 15, summary_mgmt_active_diabetic_foot_cond = NOT NULL</t>
  </si>
  <si>
    <t xml:space="preserve">Foot Care Education Materials Given </t>
  </si>
  <si>
    <t>Foot care education materials given on type of foot education [Selection:
1 - Foot care;
2 - Footwear; 
3 - Foot Complication;
4 - Others (describe in Foot Care Education Material Given Others) ] [Allow multiple selection]</t>
  </si>
  <si>
    <t>foot_care_edu_materials</t>
  </si>
  <si>
    <t>Foot Care Education Materials Given Others</t>
  </si>
  <si>
    <t>Foot care education materials given on type of foot education - Others</t>
  </si>
  <si>
    <t>foot_care_edu_materials_others</t>
  </si>
  <si>
    <t>IF foot_care_edu_materials = 4, foot_care_edu_materials_others = NOT NULL</t>
  </si>
  <si>
    <t>Foot Care Education Learning Needs</t>
  </si>
  <si>
    <t>Foot care education learning needs [patient/caregiver] [i.e. Free Text]</t>
  </si>
  <si>
    <t>foot_care_edu_learning_needs</t>
  </si>
  <si>
    <t>Foot Care Education Learnng Barriers</t>
  </si>
  <si>
    <t>Foot care education learning barriers [i.e. Free Text]</t>
  </si>
  <si>
    <t>foot_care_edu_learning_barriers</t>
  </si>
  <si>
    <t>Recommendations Next DFS Assessment</t>
  </si>
  <si>
    <t>Recommendation for next DFS assessment [Selection:
1 - 1 year; 
2 - 6 months; 
3 - 3-4 months;
4 - Others (describe in Recommendations Next DFS Assessment Others)]</t>
  </si>
  <si>
    <t>recommendations_next_dfs</t>
  </si>
  <si>
    <t>Minimum value = 1, Max value = 4</t>
  </si>
  <si>
    <t>Recommendations Next DFS Assessment Others</t>
  </si>
  <si>
    <t>Recommendation for next DFS assessment - Others [i.e. Free Text]</t>
  </si>
  <si>
    <t>2020 ACE ACG on Foot Asessments in Persons with Diabetes Mellitus</t>
  </si>
  <si>
    <t>recommendations_next_dfs_others</t>
  </si>
  <si>
    <t>IF recommendations_next_dfs = 4, recommendations_next_dfs_others = NOT NULL</t>
  </si>
  <si>
    <t>Recommendations Referrals</t>
  </si>
  <si>
    <t>Recommendations referrals [i.e. Free Text]</t>
  </si>
  <si>
    <t>recommendations_referrals</t>
  </si>
  <si>
    <t>Recommendations Remarks</t>
  </si>
  <si>
    <t>Recommendations remarks [i.e. Free Text]</t>
  </si>
  <si>
    <t>recommendations_remarks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</si>
</sst>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0" fontId="4" fillId="0" borderId="1" xfId="1" applyFont="1" applyBorder="1" applyAlignment="1">
      <alignment horizontal="left" wrapText="1"/>
    </xf>
    <xf numFmtId="49" fontId="4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left"/>
    </xf>
    <xf numFmtId="49" fontId="2" fillId="0" borderId="1" xfId="1" applyNumberFormat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16" fontId="2" fillId="0" borderId="0" xfId="0" applyNumberFormat="1" applyFont="1" applyAlignment="1">
      <alignment horizontal="left"/>
    </xf>
    <xf numFmtId="0" fontId="2" fillId="0" borderId="2" xfId="1" applyFont="1" applyBorder="1" applyAlignment="1">
      <alignment horizontal="left"/>
    </xf>
    <xf numFmtId="49" fontId="2" fillId="0" borderId="1" xfId="1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" fillId="2" borderId="1" xfId="1" applyFont="1" applyFill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4" fillId="0" borderId="1" xfId="1" applyFont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1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/>
    </xf>
    <xf numFmtId="0" fontId="2" fillId="0" borderId="2" xfId="1" applyFont="1" applyBorder="1" applyAlignment="1">
      <alignment horizontal="left" vertical="top" wrapText="1"/>
    </xf>
    <xf numFmtId="0" fontId="2" fillId="3" borderId="1" xfId="1" applyFont="1" applyFill="1" applyBorder="1" applyAlignment="1">
      <alignment horizontal="left" vertical="top"/>
    </xf>
    <xf numFmtId="0" fontId="2" fillId="0" borderId="2" xfId="1" applyFont="1" applyBorder="1" applyAlignment="1">
      <alignment horizontal="left" vertical="top"/>
    </xf>
    <xf numFmtId="0" fontId="2" fillId="0" borderId="1" xfId="0" applyFont="1" applyBorder="1"/>
    <xf numFmtId="0" fontId="2" fillId="0" borderId="4" xfId="1" applyFont="1" applyBorder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1" fillId="0" borderId="0" xfId="0" applyFont="1"/>
    <xf numFmtId="0" fontId="2" fillId="0" borderId="1" xfId="0" applyFont="1" applyBorder="1" applyAlignment="1">
      <alignment vertical="center" wrapText="1"/>
    </xf>
  </cellXfs>
  <cellStyles count="2">
    <cellStyle name="Normal" xfId="0" builtinId="0"/>
    <cellStyle name="Normal 3" xfId="1" xr:uid="{BD37F7B8-0475-F34B-B343-30B34DE288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4E61-B3EE-FB48-9EE4-4BDDB937D8FE}">
  <dimension ref="A1:AZ50"/>
  <sheetViews>
    <sheetView tabSelected="1" zoomScale="70" zoomScaleNormal="70" workbookViewId="0">
      <pane xSplit="3" topLeftCell="D1" activePane="topRight" state="frozen"/>
      <selection pane="topRight" activeCell="A9" sqref="A9"/>
    </sheetView>
  </sheetViews>
  <sheetFormatPr defaultColWidth="19.7109375" defaultRowHeight="15"/>
  <cols>
    <col min="1" max="1" width="4.28515625" style="1" bestFit="1" customWidth="1"/>
    <col min="2" max="2" width="22.7109375" style="1" customWidth="1"/>
    <col min="3" max="3" width="34.7109375" style="1" customWidth="1"/>
    <col min="4" max="4" width="65.42578125" style="1" bestFit="1" customWidth="1"/>
    <col min="5" max="5" width="23" style="1" bestFit="1" customWidth="1"/>
    <col min="6" max="6" width="34.42578125" style="2" bestFit="1" customWidth="1"/>
    <col min="7" max="7" width="17.42578125" style="1" bestFit="1" customWidth="1"/>
    <col min="8" max="8" width="77.42578125" style="1" bestFit="1" customWidth="1"/>
    <col min="9" max="16384" width="19.7109375" style="1"/>
  </cols>
  <sheetData>
    <row r="1" spans="1:52" ht="31.15">
      <c r="A1" s="1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 spans="1:52" ht="15.6">
      <c r="A2" s="1">
        <f>ROWS($A$2:A2)</f>
        <v>1</v>
      </c>
      <c r="B2" s="1" t="str">
        <f t="shared" ref="B2:B17" si="0">IF(ISNUMBER(FIND("right",LOWER(C2))),"Even",
IF(ISNUMBER(FIND("left",LOWER(C2))),"Odd","Generic"))</f>
        <v>Generic</v>
      </c>
      <c r="C2" s="6" t="s">
        <v>7</v>
      </c>
      <c r="D2" s="6" t="s">
        <v>8</v>
      </c>
      <c r="E2" s="7" t="s">
        <v>9</v>
      </c>
      <c r="F2" s="8" t="s">
        <v>10</v>
      </c>
      <c r="G2" s="9" t="s">
        <v>11</v>
      </c>
      <c r="H2" s="7"/>
      <c r="I2" s="12"/>
      <c r="J2" s="5"/>
      <c r="K2" s="5"/>
      <c r="L2" s="13"/>
      <c r="M2" s="5"/>
      <c r="N2" s="5"/>
      <c r="O2" s="14"/>
      <c r="P2" s="5"/>
      <c r="Q2" s="1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10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</row>
    <row r="3" spans="1:52">
      <c r="A3" s="1">
        <f>ROWS($A$2:A3)</f>
        <v>2</v>
      </c>
      <c r="B3" s="1" t="str">
        <f t="shared" si="0"/>
        <v>Generic</v>
      </c>
      <c r="C3" s="6" t="s">
        <v>12</v>
      </c>
      <c r="D3" s="6" t="s">
        <v>13</v>
      </c>
      <c r="E3" s="7" t="s">
        <v>9</v>
      </c>
      <c r="F3" s="8" t="s">
        <v>14</v>
      </c>
      <c r="G3" s="9" t="s">
        <v>11</v>
      </c>
      <c r="H3" s="7" t="s">
        <v>15</v>
      </c>
    </row>
    <row r="4" spans="1:52">
      <c r="A4" s="1">
        <f>ROWS($A$2:A4)</f>
        <v>3</v>
      </c>
      <c r="B4" s="1" t="str">
        <f t="shared" si="0"/>
        <v>Generic</v>
      </c>
      <c r="C4" s="6" t="s">
        <v>16</v>
      </c>
      <c r="D4" s="6" t="s">
        <v>17</v>
      </c>
      <c r="E4" s="7" t="s">
        <v>9</v>
      </c>
      <c r="F4" s="8" t="s">
        <v>18</v>
      </c>
      <c r="G4" s="9" t="s">
        <v>11</v>
      </c>
      <c r="H4" s="7"/>
    </row>
    <row r="5" spans="1:52" ht="45">
      <c r="A5" s="1">
        <f>ROWS($A$2:A5)</f>
        <v>4</v>
      </c>
      <c r="B5" s="1" t="str">
        <f t="shared" si="0"/>
        <v>Generic</v>
      </c>
      <c r="C5" s="6" t="s">
        <v>19</v>
      </c>
      <c r="D5" s="6" t="s">
        <v>20</v>
      </c>
      <c r="E5" s="7" t="s">
        <v>9</v>
      </c>
      <c r="F5" s="8" t="s">
        <v>21</v>
      </c>
      <c r="G5" s="9" t="s">
        <v>22</v>
      </c>
      <c r="H5" s="7" t="s">
        <v>23</v>
      </c>
    </row>
    <row r="6" spans="1:52" ht="45">
      <c r="A6" s="1">
        <f>ROWS($A$2:A6)</f>
        <v>5</v>
      </c>
      <c r="B6" s="1" t="str">
        <f t="shared" si="0"/>
        <v>Generic</v>
      </c>
      <c r="C6" s="6" t="s">
        <v>24</v>
      </c>
      <c r="D6" s="6" t="s">
        <v>25</v>
      </c>
      <c r="E6" s="7" t="s">
        <v>26</v>
      </c>
      <c r="F6" s="8" t="s">
        <v>27</v>
      </c>
      <c r="G6" s="9" t="s">
        <v>11</v>
      </c>
      <c r="H6" s="7" t="s">
        <v>28</v>
      </c>
    </row>
    <row r="7" spans="1:52" ht="30">
      <c r="A7" s="1">
        <f>ROWS($A$2:A7)</f>
        <v>6</v>
      </c>
      <c r="B7" s="1" t="str">
        <f t="shared" si="0"/>
        <v>Generic</v>
      </c>
      <c r="C7" s="6" t="s">
        <v>29</v>
      </c>
      <c r="D7" s="6" t="s">
        <v>30</v>
      </c>
      <c r="E7" s="7" t="s">
        <v>9</v>
      </c>
      <c r="F7" s="8" t="s">
        <v>31</v>
      </c>
      <c r="G7" s="9" t="s">
        <v>11</v>
      </c>
      <c r="H7" s="6"/>
    </row>
    <row r="8" spans="1:52" ht="35.65" customHeight="1">
      <c r="A8" s="1">
        <f>ROWS($A$2:A8)</f>
        <v>7</v>
      </c>
      <c r="B8" s="1" t="str">
        <f t="shared" si="0"/>
        <v>Generic</v>
      </c>
      <c r="C8" s="6" t="s">
        <v>32</v>
      </c>
      <c r="D8" s="6" t="s">
        <v>33</v>
      </c>
      <c r="E8" s="7" t="s">
        <v>26</v>
      </c>
      <c r="F8" s="8" t="s">
        <v>34</v>
      </c>
      <c r="G8" s="9" t="s">
        <v>11</v>
      </c>
      <c r="H8" s="7" t="s">
        <v>35</v>
      </c>
    </row>
    <row r="9" spans="1:52" ht="30">
      <c r="A9" s="1">
        <f>ROWS($A$2:A9)</f>
        <v>8</v>
      </c>
      <c r="B9" s="1" t="str">
        <f t="shared" si="0"/>
        <v>Generic</v>
      </c>
      <c r="C9" s="6" t="s">
        <v>36</v>
      </c>
      <c r="D9" s="6" t="s">
        <v>37</v>
      </c>
      <c r="E9" s="7" t="s">
        <v>26</v>
      </c>
      <c r="F9" s="8" t="s">
        <v>38</v>
      </c>
      <c r="G9" s="9" t="s">
        <v>11</v>
      </c>
      <c r="H9" s="7" t="s">
        <v>39</v>
      </c>
    </row>
    <row r="10" spans="1:52">
      <c r="A10" s="1">
        <f>ROWS($A$2:A10)</f>
        <v>9</v>
      </c>
      <c r="B10" s="1" t="str">
        <f t="shared" si="0"/>
        <v>Generic</v>
      </c>
      <c r="C10" s="6" t="s">
        <v>40</v>
      </c>
      <c r="D10" s="6" t="s">
        <v>41</v>
      </c>
      <c r="E10" s="7" t="s">
        <v>26</v>
      </c>
      <c r="F10" s="8" t="s">
        <v>42</v>
      </c>
      <c r="G10" s="9" t="s">
        <v>11</v>
      </c>
      <c r="H10" s="7"/>
    </row>
    <row r="11" spans="1:52">
      <c r="A11" s="1">
        <f>ROWS($A$2:A11)</f>
        <v>10</v>
      </c>
      <c r="B11" s="1" t="str">
        <f t="shared" si="0"/>
        <v>Generic</v>
      </c>
      <c r="C11" s="6" t="s">
        <v>43</v>
      </c>
      <c r="D11" s="6" t="s">
        <v>44</v>
      </c>
      <c r="E11" s="7" t="s">
        <v>9</v>
      </c>
      <c r="F11" s="8" t="s">
        <v>45</v>
      </c>
      <c r="G11" s="15" t="s">
        <v>11</v>
      </c>
      <c r="H11" s="6"/>
    </row>
    <row r="12" spans="1:52">
      <c r="A12" s="1">
        <f>ROWS($A$2:A12)</f>
        <v>11</v>
      </c>
      <c r="B12" s="1" t="str">
        <f t="shared" si="0"/>
        <v>Generic</v>
      </c>
      <c r="C12" s="6" t="s">
        <v>46</v>
      </c>
      <c r="D12" s="6" t="s">
        <v>47</v>
      </c>
      <c r="E12" s="7" t="s">
        <v>9</v>
      </c>
      <c r="F12" s="8" t="s">
        <v>48</v>
      </c>
      <c r="G12" s="9" t="s">
        <v>11</v>
      </c>
      <c r="H12" s="7" t="s">
        <v>49</v>
      </c>
    </row>
    <row r="13" spans="1:52">
      <c r="A13" s="1">
        <f>ROWS($A$2:A13)</f>
        <v>12</v>
      </c>
      <c r="B13" s="1" t="str">
        <f t="shared" si="0"/>
        <v>Generic</v>
      </c>
      <c r="C13" s="6" t="s">
        <v>50</v>
      </c>
      <c r="D13" s="6" t="s">
        <v>51</v>
      </c>
      <c r="E13" s="7" t="s">
        <v>9</v>
      </c>
      <c r="F13" s="8" t="s">
        <v>52</v>
      </c>
      <c r="G13" s="9" t="s">
        <v>11</v>
      </c>
      <c r="H13" s="7"/>
    </row>
    <row r="14" spans="1:52">
      <c r="A14" s="1">
        <f>ROWS($A$2:A14)</f>
        <v>13</v>
      </c>
      <c r="B14" s="1" t="str">
        <f t="shared" si="0"/>
        <v>Generic</v>
      </c>
      <c r="C14" s="6" t="s">
        <v>53</v>
      </c>
      <c r="D14" s="6" t="s">
        <v>54</v>
      </c>
      <c r="E14" s="7" t="s">
        <v>9</v>
      </c>
      <c r="F14" s="8" t="s">
        <v>55</v>
      </c>
      <c r="G14" s="9" t="s">
        <v>11</v>
      </c>
      <c r="H14" s="7" t="s">
        <v>56</v>
      </c>
    </row>
    <row r="15" spans="1:52">
      <c r="A15" s="1">
        <f>ROWS($A$2:A15)</f>
        <v>14</v>
      </c>
      <c r="B15" s="1" t="str">
        <f t="shared" si="0"/>
        <v>Generic</v>
      </c>
      <c r="C15" s="6" t="s">
        <v>57</v>
      </c>
      <c r="D15" s="6" t="s">
        <v>58</v>
      </c>
      <c r="E15" s="7" t="s">
        <v>9</v>
      </c>
      <c r="F15" s="8" t="s">
        <v>59</v>
      </c>
      <c r="G15" s="9" t="s">
        <v>11</v>
      </c>
      <c r="H15" s="6"/>
    </row>
    <row r="16" spans="1:52">
      <c r="A16" s="1">
        <f>ROWS($A$2:A16)</f>
        <v>15</v>
      </c>
      <c r="B16" s="1" t="str">
        <f t="shared" si="0"/>
        <v>Generic</v>
      </c>
      <c r="C16" s="7" t="s">
        <v>60</v>
      </c>
      <c r="D16" s="7" t="s">
        <v>60</v>
      </c>
      <c r="E16" s="7" t="s">
        <v>9</v>
      </c>
      <c r="F16" s="16" t="s">
        <v>61</v>
      </c>
      <c r="G16" s="15" t="s">
        <v>62</v>
      </c>
      <c r="H16" s="17"/>
    </row>
    <row r="17" spans="1:8">
      <c r="A17" s="1">
        <f>ROWS($A$2:A17)</f>
        <v>16</v>
      </c>
      <c r="B17" s="1" t="str">
        <f t="shared" si="0"/>
        <v>Generic</v>
      </c>
      <c r="C17" s="6" t="s">
        <v>63</v>
      </c>
      <c r="D17" s="6" t="s">
        <v>64</v>
      </c>
      <c r="E17" s="7" t="s">
        <v>9</v>
      </c>
      <c r="F17" s="8" t="s">
        <v>65</v>
      </c>
      <c r="G17" s="18" t="s">
        <v>22</v>
      </c>
      <c r="H17" s="7" t="s">
        <v>66</v>
      </c>
    </row>
    <row r="18" spans="1:8">
      <c r="A18" s="1">
        <f>ROWS($A$2:A18)</f>
        <v>17</v>
      </c>
      <c r="B18" s="1" t="str">
        <f t="shared" ref="B18:B50" si="1">IF(ISNUMBER(FIND("right",LOWER(C18))),"Even",
IF(ISNUMBER(FIND("left",LOWER(C18))),"Odd","Generic"))</f>
        <v>Odd</v>
      </c>
      <c r="C18" s="6" t="s">
        <v>67</v>
      </c>
      <c r="D18" s="6" t="s">
        <v>68</v>
      </c>
      <c r="E18" s="7" t="s">
        <v>26</v>
      </c>
      <c r="F18" s="8" t="s">
        <v>69</v>
      </c>
      <c r="G18" s="7" t="s">
        <v>70</v>
      </c>
      <c r="H18" s="7"/>
    </row>
    <row r="19" spans="1:8">
      <c r="A19" s="1">
        <f>ROWS($A$2:A19)</f>
        <v>18</v>
      </c>
      <c r="B19" s="1" t="str">
        <f>IF(ISNUMBER(FIND("right",LOWER(C19))),"Even",
IF(ISNUMBER(FIND("left",LOWER(C19))),"Odd","Generic"))</f>
        <v>Even</v>
      </c>
      <c r="C19" s="6" t="s">
        <v>71</v>
      </c>
      <c r="D19" s="6" t="s">
        <v>72</v>
      </c>
      <c r="E19" s="7" t="s">
        <v>26</v>
      </c>
      <c r="F19" s="8" t="s">
        <v>73</v>
      </c>
      <c r="G19" s="7" t="s">
        <v>70</v>
      </c>
      <c r="H19" s="7"/>
    </row>
    <row r="20" spans="1:8" ht="30">
      <c r="A20" s="1">
        <f>ROWS($A$2:A20)</f>
        <v>19</v>
      </c>
      <c r="B20" s="1" t="str">
        <f>IF(ISNUMBER(FIND("right",LOWER(C20))),"Even",
IF(ISNUMBER(FIND("left",LOWER(C20))),"Odd","Generic"))</f>
        <v>Odd</v>
      </c>
      <c r="C20" s="19" t="s">
        <v>74</v>
      </c>
      <c r="D20" s="6" t="s">
        <v>75</v>
      </c>
      <c r="E20" s="7" t="s">
        <v>9</v>
      </c>
      <c r="F20" s="8" t="s">
        <v>76</v>
      </c>
      <c r="G20" s="6" t="s">
        <v>77</v>
      </c>
      <c r="H20" s="7"/>
    </row>
    <row r="21" spans="1:8" ht="30">
      <c r="A21" s="1">
        <f>ROWS($A$2:A21)</f>
        <v>20</v>
      </c>
      <c r="B21" s="1" t="str">
        <f t="shared" si="1"/>
        <v>Even</v>
      </c>
      <c r="C21" s="19" t="s">
        <v>78</v>
      </c>
      <c r="D21" s="6" t="s">
        <v>79</v>
      </c>
      <c r="E21" s="7" t="s">
        <v>9</v>
      </c>
      <c r="F21" s="8" t="s">
        <v>80</v>
      </c>
      <c r="G21" s="6" t="s">
        <v>77</v>
      </c>
      <c r="H21" s="7"/>
    </row>
    <row r="22" spans="1:8">
      <c r="A22" s="1">
        <f>ROWS($A$2:A22)</f>
        <v>21</v>
      </c>
      <c r="B22" s="1" t="str">
        <f>IF(ISNUMBER(FIND("right",LOWER(C22))),"Even",
IF(ISNUMBER(FIND("left",LOWER(C22))),"Odd","Generic"))</f>
        <v>Odd</v>
      </c>
      <c r="C22" s="19" t="s">
        <v>81</v>
      </c>
      <c r="D22" s="6" t="s">
        <v>82</v>
      </c>
      <c r="E22" s="7" t="s">
        <v>9</v>
      </c>
      <c r="F22" s="8" t="s">
        <v>83</v>
      </c>
      <c r="G22" s="6" t="s">
        <v>11</v>
      </c>
      <c r="H22" s="7"/>
    </row>
    <row r="23" spans="1:8">
      <c r="A23" s="1">
        <f>ROWS($A$2:A23)</f>
        <v>22</v>
      </c>
      <c r="B23" s="1" t="str">
        <f t="shared" si="1"/>
        <v>Even</v>
      </c>
      <c r="C23" s="19" t="s">
        <v>84</v>
      </c>
      <c r="D23" s="6" t="s">
        <v>85</v>
      </c>
      <c r="E23" s="7" t="s">
        <v>9</v>
      </c>
      <c r="F23" s="8" t="s">
        <v>86</v>
      </c>
      <c r="G23" s="6" t="s">
        <v>11</v>
      </c>
      <c r="H23" s="7"/>
    </row>
    <row r="24" spans="1:8">
      <c r="A24" s="1">
        <f>ROWS($A$2:A24)</f>
        <v>23</v>
      </c>
      <c r="B24" s="1" t="str">
        <f>IF(ISNUMBER(FIND("right",LOWER(C24))),"Even",
IF(ISNUMBER(FIND("left",LOWER(C24))),"Odd","Generic"))</f>
        <v>Odd</v>
      </c>
      <c r="C24" s="19" t="s">
        <v>87</v>
      </c>
      <c r="D24" s="6" t="s">
        <v>88</v>
      </c>
      <c r="E24" s="7" t="s">
        <v>26</v>
      </c>
      <c r="F24" s="8" t="s">
        <v>89</v>
      </c>
      <c r="G24" s="6" t="s">
        <v>11</v>
      </c>
      <c r="H24" s="7"/>
    </row>
    <row r="25" spans="1:8">
      <c r="A25" s="1">
        <f>ROWS($A$2:A25)</f>
        <v>24</v>
      </c>
      <c r="B25" s="1" t="str">
        <f t="shared" si="1"/>
        <v>Even</v>
      </c>
      <c r="C25" s="19" t="s">
        <v>90</v>
      </c>
      <c r="D25" s="6" t="s">
        <v>91</v>
      </c>
      <c r="E25" s="7" t="s">
        <v>26</v>
      </c>
      <c r="F25" s="8" t="s">
        <v>92</v>
      </c>
      <c r="G25" s="6" t="s">
        <v>11</v>
      </c>
      <c r="H25" s="7"/>
    </row>
    <row r="26" spans="1:8" ht="30.6">
      <c r="A26" s="1">
        <f>ROWS($A$2:A26)</f>
        <v>25</v>
      </c>
      <c r="B26" s="1" t="str">
        <f>IF(ISNUMBER(FIND("right",LOWER(C26))),"Even",
IF(ISNUMBER(FIND("left",LOWER(C26))),"Odd","Generic"))</f>
        <v>Odd</v>
      </c>
      <c r="C26" s="6" t="s">
        <v>93</v>
      </c>
      <c r="D26" s="6" t="s">
        <v>94</v>
      </c>
      <c r="E26" s="7" t="s">
        <v>9</v>
      </c>
      <c r="F26" s="8" t="s">
        <v>95</v>
      </c>
      <c r="G26" s="7" t="s">
        <v>77</v>
      </c>
      <c r="H26" s="3"/>
    </row>
    <row r="27" spans="1:8" ht="30.6">
      <c r="A27" s="1">
        <f>ROWS($A$2:A27)</f>
        <v>26</v>
      </c>
      <c r="B27" s="1" t="str">
        <f t="shared" si="1"/>
        <v>Even</v>
      </c>
      <c r="C27" s="6" t="s">
        <v>96</v>
      </c>
      <c r="D27" s="6" t="s">
        <v>97</v>
      </c>
      <c r="E27" s="7" t="s">
        <v>9</v>
      </c>
      <c r="F27" s="8" t="s">
        <v>98</v>
      </c>
      <c r="G27" s="7" t="s">
        <v>77</v>
      </c>
      <c r="H27" s="3"/>
    </row>
    <row r="28" spans="1:8" ht="30.6">
      <c r="A28" s="1">
        <f>ROWS($A$2:A28)</f>
        <v>27</v>
      </c>
      <c r="B28" s="1" t="str">
        <f>IF(ISNUMBER(FIND("right",LOWER(C28))),"Even",
IF(ISNUMBER(FIND("left",LOWER(C28))),"Odd","Generic"))</f>
        <v>Odd</v>
      </c>
      <c r="C28" s="19" t="s">
        <v>99</v>
      </c>
      <c r="D28" s="19" t="s">
        <v>100</v>
      </c>
      <c r="E28" s="5" t="s">
        <v>9</v>
      </c>
      <c r="F28" s="8" t="s">
        <v>101</v>
      </c>
      <c r="G28" s="6" t="s">
        <v>77</v>
      </c>
      <c r="H28" s="3"/>
    </row>
    <row r="29" spans="1:8" ht="30.6">
      <c r="A29" s="1">
        <f>ROWS($A$2:A29)</f>
        <v>28</v>
      </c>
      <c r="B29" s="1" t="str">
        <f t="shared" si="1"/>
        <v>Even</v>
      </c>
      <c r="C29" s="19" t="s">
        <v>102</v>
      </c>
      <c r="D29" s="19" t="s">
        <v>103</v>
      </c>
      <c r="E29" s="11" t="s">
        <v>9</v>
      </c>
      <c r="F29" s="8" t="s">
        <v>104</v>
      </c>
      <c r="G29" s="6" t="s">
        <v>77</v>
      </c>
      <c r="H29" s="3"/>
    </row>
    <row r="30" spans="1:8" ht="30.6">
      <c r="A30" s="1">
        <f>ROWS($A$2:A30)</f>
        <v>29</v>
      </c>
      <c r="B30" s="1" t="str">
        <f>IF(ISNUMBER(FIND("right",LOWER(C30))),"Even",
IF(ISNUMBER(FIND("left",LOWER(C30))),"Odd","Generic"))</f>
        <v>Odd</v>
      </c>
      <c r="C30" s="19" t="s">
        <v>105</v>
      </c>
      <c r="D30" s="19" t="s">
        <v>106</v>
      </c>
      <c r="E30" s="6" t="s">
        <v>26</v>
      </c>
      <c r="F30" s="8" t="s">
        <v>107</v>
      </c>
      <c r="G30" s="6" t="s">
        <v>77</v>
      </c>
      <c r="H30" s="3"/>
    </row>
    <row r="31" spans="1:8" ht="30.6">
      <c r="A31" s="1">
        <f>ROWS($A$2:A31)</f>
        <v>30</v>
      </c>
      <c r="B31" s="1" t="str">
        <f t="shared" si="1"/>
        <v>Even</v>
      </c>
      <c r="C31" s="19" t="s">
        <v>108</v>
      </c>
      <c r="D31" s="19" t="s">
        <v>109</v>
      </c>
      <c r="E31" s="6" t="s">
        <v>26</v>
      </c>
      <c r="F31" s="8" t="s">
        <v>110</v>
      </c>
      <c r="G31" s="6" t="s">
        <v>77</v>
      </c>
      <c r="H31" s="3"/>
    </row>
    <row r="32" spans="1:8" ht="113.65" customHeight="1">
      <c r="A32" s="1">
        <f>ROWS($A$2:A32)</f>
        <v>31</v>
      </c>
      <c r="B32" s="1" t="str">
        <f>IF(ISNUMBER(FIND("right",LOWER(C32))),"Even",
IF(ISNUMBER(FIND("left",LOWER(C32))),"Odd","Generic"))</f>
        <v>Odd</v>
      </c>
      <c r="C32" s="6" t="s">
        <v>111</v>
      </c>
      <c r="D32" s="6" t="s">
        <v>112</v>
      </c>
      <c r="E32" s="6" t="s">
        <v>9</v>
      </c>
      <c r="F32" s="8" t="s">
        <v>113</v>
      </c>
      <c r="G32" s="11" t="s">
        <v>22</v>
      </c>
      <c r="H32" s="7" t="s">
        <v>114</v>
      </c>
    </row>
    <row r="33" spans="1:8" ht="127.9" customHeight="1">
      <c r="A33" s="1">
        <f>ROWS($A$2:A33)</f>
        <v>32</v>
      </c>
      <c r="B33" s="1" t="str">
        <f t="shared" si="1"/>
        <v>Even</v>
      </c>
      <c r="C33" s="6" t="s">
        <v>115</v>
      </c>
      <c r="D33" s="6" t="s">
        <v>116</v>
      </c>
      <c r="E33" s="6" t="s">
        <v>9</v>
      </c>
      <c r="F33" s="8" t="s">
        <v>117</v>
      </c>
      <c r="G33" s="11" t="s">
        <v>22</v>
      </c>
      <c r="H33" s="7" t="s">
        <v>114</v>
      </c>
    </row>
    <row r="34" spans="1:8" ht="45">
      <c r="A34" s="1">
        <f>ROWS($A$2:A34)</f>
        <v>33</v>
      </c>
      <c r="B34" s="1" t="str">
        <f>IF(ISNUMBER(FIND("right",LOWER(C34))),"Even",
IF(ISNUMBER(FIND("left",LOWER(C34))),"Odd","Generic"))</f>
        <v>Odd</v>
      </c>
      <c r="C34" s="6" t="s">
        <v>118</v>
      </c>
      <c r="D34" s="19" t="s">
        <v>119</v>
      </c>
      <c r="E34" s="6" t="s">
        <v>9</v>
      </c>
      <c r="F34" s="8" t="s">
        <v>120</v>
      </c>
      <c r="G34" s="11" t="s">
        <v>77</v>
      </c>
      <c r="H34" s="19"/>
    </row>
    <row r="35" spans="1:8" ht="45">
      <c r="A35" s="1">
        <f>ROWS($A$2:A35)</f>
        <v>34</v>
      </c>
      <c r="B35" s="1" t="str">
        <f t="shared" si="1"/>
        <v>Even</v>
      </c>
      <c r="C35" s="6" t="s">
        <v>121</v>
      </c>
      <c r="D35" s="19" t="s">
        <v>122</v>
      </c>
      <c r="E35" s="6" t="s">
        <v>9</v>
      </c>
      <c r="F35" s="8" t="s">
        <v>123</v>
      </c>
      <c r="G35" s="11" t="s">
        <v>77</v>
      </c>
      <c r="H35" s="19"/>
    </row>
    <row r="36" spans="1:8" ht="45">
      <c r="A36" s="1">
        <f>ROWS($A$2:A36)</f>
        <v>35</v>
      </c>
      <c r="B36" s="1" t="str">
        <f>IF(ISNUMBER(FIND("right",LOWER(C36))),"Even",
IF(ISNUMBER(FIND("left",LOWER(C36))),"Odd","Generic"))</f>
        <v>Odd</v>
      </c>
      <c r="C36" s="6" t="s">
        <v>124</v>
      </c>
      <c r="D36" s="6" t="s">
        <v>125</v>
      </c>
      <c r="E36" s="6" t="s">
        <v>9</v>
      </c>
      <c r="F36" s="8" t="s">
        <v>126</v>
      </c>
      <c r="G36" s="11" t="s">
        <v>77</v>
      </c>
      <c r="H36" s="7"/>
    </row>
    <row r="37" spans="1:8" ht="45">
      <c r="A37" s="1">
        <f>ROWS($A$2:A37)</f>
        <v>36</v>
      </c>
      <c r="B37" s="1" t="str">
        <f t="shared" si="1"/>
        <v>Even</v>
      </c>
      <c r="C37" s="6" t="s">
        <v>127</v>
      </c>
      <c r="D37" s="6" t="s">
        <v>128</v>
      </c>
      <c r="E37" s="6" t="s">
        <v>9</v>
      </c>
      <c r="F37" s="8" t="s">
        <v>129</v>
      </c>
      <c r="G37" s="11" t="s">
        <v>77</v>
      </c>
      <c r="H37" s="7"/>
    </row>
    <row r="38" spans="1:8" ht="30">
      <c r="A38" s="1">
        <f>ROWS($A$2:A38)</f>
        <v>37</v>
      </c>
      <c r="B38" s="1" t="str">
        <f>IF(ISNUMBER(FIND("right",LOWER(C38))),"Even",
IF(ISNUMBER(FIND("left",LOWER(C38))),"Odd","Generic"))</f>
        <v>Odd</v>
      </c>
      <c r="C38" s="6" t="s">
        <v>130</v>
      </c>
      <c r="D38" s="6" t="s">
        <v>131</v>
      </c>
      <c r="E38" s="6" t="s">
        <v>9</v>
      </c>
      <c r="F38" s="20" t="s">
        <v>132</v>
      </c>
      <c r="G38" s="11" t="s">
        <v>77</v>
      </c>
      <c r="H38" s="7"/>
    </row>
    <row r="39" spans="1:8" ht="30">
      <c r="A39" s="1">
        <f>ROWS($A$2:A39)</f>
        <v>38</v>
      </c>
      <c r="B39" s="1" t="str">
        <f t="shared" si="1"/>
        <v>Even</v>
      </c>
      <c r="C39" s="6" t="s">
        <v>133</v>
      </c>
      <c r="D39" s="6" t="s">
        <v>134</v>
      </c>
      <c r="E39" s="6" t="s">
        <v>9</v>
      </c>
      <c r="F39" s="20" t="s">
        <v>135</v>
      </c>
      <c r="G39" s="11" t="s">
        <v>77</v>
      </c>
      <c r="H39" s="7"/>
    </row>
    <row r="40" spans="1:8" ht="30">
      <c r="A40" s="1">
        <f>ROWS($A$2:A40)</f>
        <v>39</v>
      </c>
      <c r="B40" s="1" t="str">
        <f>IF(ISNUMBER(FIND("right",LOWER(C40))),"Even",
IF(ISNUMBER(FIND("left",LOWER(C40))),"Odd","Generic"))</f>
        <v>Odd</v>
      </c>
      <c r="C40" s="19" t="s">
        <v>136</v>
      </c>
      <c r="D40" s="19" t="s">
        <v>137</v>
      </c>
      <c r="E40" s="19" t="s">
        <v>26</v>
      </c>
      <c r="F40" s="20" t="s">
        <v>138</v>
      </c>
      <c r="G40" s="10" t="s">
        <v>139</v>
      </c>
      <c r="H40" s="10"/>
    </row>
    <row r="41" spans="1:8" ht="30">
      <c r="A41" s="1">
        <f>ROWS($A$2:A41)</f>
        <v>40</v>
      </c>
      <c r="B41" s="1" t="str">
        <f t="shared" si="1"/>
        <v>Even</v>
      </c>
      <c r="C41" s="19" t="s">
        <v>140</v>
      </c>
      <c r="D41" s="19" t="s">
        <v>141</v>
      </c>
      <c r="E41" s="19" t="s">
        <v>26</v>
      </c>
      <c r="F41" s="20" t="s">
        <v>142</v>
      </c>
      <c r="G41" s="10" t="s">
        <v>139</v>
      </c>
      <c r="H41" s="10"/>
    </row>
    <row r="42" spans="1:8" ht="30">
      <c r="A42" s="1">
        <f>ROWS($A$2:A42)</f>
        <v>41</v>
      </c>
      <c r="B42" s="1" t="str">
        <f>IF(ISNUMBER(FIND("right",LOWER(C42))),"Even",
IF(ISNUMBER(FIND("left",LOWER(C42))),"Odd","Generic"))</f>
        <v>Odd</v>
      </c>
      <c r="C42" s="10" t="s">
        <v>143</v>
      </c>
      <c r="D42" s="10" t="s">
        <v>144</v>
      </c>
      <c r="E42" s="10" t="s">
        <v>9</v>
      </c>
      <c r="F42" s="20" t="s">
        <v>145</v>
      </c>
      <c r="G42" s="10" t="s">
        <v>139</v>
      </c>
      <c r="H42" s="10"/>
    </row>
    <row r="43" spans="1:8" ht="30">
      <c r="A43" s="1">
        <f>ROWS($A$2:A43)</f>
        <v>42</v>
      </c>
      <c r="B43" s="1" t="str">
        <f t="shared" si="1"/>
        <v>Even</v>
      </c>
      <c r="C43" s="10" t="s">
        <v>146</v>
      </c>
      <c r="D43" s="10" t="s">
        <v>147</v>
      </c>
      <c r="E43" s="10" t="s">
        <v>9</v>
      </c>
      <c r="F43" s="20" t="s">
        <v>148</v>
      </c>
      <c r="G43" s="10" t="s">
        <v>139</v>
      </c>
      <c r="H43" s="10"/>
    </row>
    <row r="44" spans="1:8" ht="165">
      <c r="A44" s="1">
        <f>ROWS($A$2:A44)</f>
        <v>43</v>
      </c>
      <c r="B44" s="1" t="str">
        <f t="shared" si="1"/>
        <v>Generic</v>
      </c>
      <c r="C44" s="10" t="s">
        <v>149</v>
      </c>
      <c r="D44" s="10" t="s">
        <v>150</v>
      </c>
      <c r="E44" s="10" t="s">
        <v>9</v>
      </c>
      <c r="F44" s="20" t="s">
        <v>151</v>
      </c>
      <c r="G44" s="6" t="s">
        <v>22</v>
      </c>
      <c r="H44" s="7" t="s">
        <v>152</v>
      </c>
    </row>
    <row r="45" spans="1:8" ht="30">
      <c r="A45" s="1">
        <f>ROWS($A$2:A45)</f>
        <v>44</v>
      </c>
      <c r="B45" s="1" t="str">
        <f t="shared" si="1"/>
        <v>Generic</v>
      </c>
      <c r="C45" s="10" t="s">
        <v>153</v>
      </c>
      <c r="D45" s="10" t="s">
        <v>154</v>
      </c>
      <c r="E45" s="10" t="s">
        <v>26</v>
      </c>
      <c r="F45" s="20" t="s">
        <v>155</v>
      </c>
      <c r="G45" s="10" t="s">
        <v>139</v>
      </c>
      <c r="H45" s="10" t="s">
        <v>156</v>
      </c>
    </row>
    <row r="46" spans="1:8" ht="30">
      <c r="A46" s="1">
        <f>ROWS($A$2:A46)</f>
        <v>45</v>
      </c>
      <c r="B46" s="1" t="str">
        <f t="shared" si="1"/>
        <v>Generic</v>
      </c>
      <c r="C46" s="10" t="s">
        <v>157</v>
      </c>
      <c r="D46" s="10" t="s">
        <v>158</v>
      </c>
      <c r="E46" s="10" t="s">
        <v>26</v>
      </c>
      <c r="F46" s="20" t="s">
        <v>159</v>
      </c>
      <c r="G46" s="10" t="s">
        <v>139</v>
      </c>
      <c r="H46" s="10"/>
    </row>
    <row r="47" spans="1:8" ht="30">
      <c r="A47" s="1">
        <f>ROWS($A$2:A47)</f>
        <v>46</v>
      </c>
      <c r="B47" s="1" t="str">
        <f t="shared" si="1"/>
        <v>Generic</v>
      </c>
      <c r="C47" s="10" t="s">
        <v>160</v>
      </c>
      <c r="D47" s="6" t="s">
        <v>161</v>
      </c>
      <c r="E47" s="10" t="s">
        <v>26</v>
      </c>
      <c r="F47" s="20" t="s">
        <v>162</v>
      </c>
      <c r="G47" s="10" t="s">
        <v>139</v>
      </c>
      <c r="H47" s="10"/>
    </row>
    <row r="48" spans="1:8" ht="30">
      <c r="A48" s="1">
        <f>ROWS($A$2:A48)</f>
        <v>47</v>
      </c>
      <c r="B48" s="1" t="str">
        <f t="shared" si="1"/>
        <v>Generic</v>
      </c>
      <c r="C48" s="10" t="s">
        <v>163</v>
      </c>
      <c r="D48" s="6" t="s">
        <v>164</v>
      </c>
      <c r="E48" s="10" t="s">
        <v>26</v>
      </c>
      <c r="F48" s="20" t="s">
        <v>165</v>
      </c>
      <c r="G48" s="10" t="s">
        <v>139</v>
      </c>
      <c r="H48" s="7" t="s">
        <v>49</v>
      </c>
    </row>
    <row r="49" spans="1:8" ht="30">
      <c r="A49" s="1">
        <f>ROWS($A$2:A49)</f>
        <v>48</v>
      </c>
      <c r="B49" s="1" t="str">
        <f t="shared" si="1"/>
        <v>Generic</v>
      </c>
      <c r="C49" s="10" t="s">
        <v>166</v>
      </c>
      <c r="D49" s="6" t="s">
        <v>167</v>
      </c>
      <c r="E49" s="10" t="s">
        <v>26</v>
      </c>
      <c r="F49" s="20" t="s">
        <v>168</v>
      </c>
      <c r="G49" s="10" t="s">
        <v>139</v>
      </c>
      <c r="H49" s="7" t="s">
        <v>169</v>
      </c>
    </row>
    <row r="50" spans="1:8">
      <c r="A50" s="1">
        <f>ROWS($A$2:A50)</f>
        <v>49</v>
      </c>
      <c r="B50" s="1" t="str">
        <f t="shared" si="1"/>
        <v>Generic</v>
      </c>
      <c r="C50" s="10" t="s">
        <v>170</v>
      </c>
      <c r="D50" s="6" t="s">
        <v>171</v>
      </c>
      <c r="E50" s="10" t="s">
        <v>26</v>
      </c>
      <c r="F50" s="20" t="s">
        <v>172</v>
      </c>
      <c r="G50" s="10" t="s">
        <v>139</v>
      </c>
      <c r="H50" s="10"/>
    </row>
  </sheetData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306D-6768-E948-AFB8-9209D59B4163}">
  <dimension ref="A1:L80"/>
  <sheetViews>
    <sheetView zoomScale="108" zoomScaleNormal="80" workbookViewId="0">
      <pane ySplit="1" topLeftCell="A63" activePane="bottomLeft" state="frozen"/>
      <selection pane="bottomLeft" activeCell="K70" sqref="K70"/>
    </sheetView>
  </sheetViews>
  <sheetFormatPr defaultColWidth="9.140625" defaultRowHeight="15"/>
  <cols>
    <col min="1" max="1" width="4.28515625" style="1" bestFit="1" customWidth="1"/>
    <col min="2" max="2" width="22.7109375" style="1" customWidth="1"/>
    <col min="3" max="3" width="34.42578125" style="22" customWidth="1"/>
    <col min="4" max="4" width="19" style="22" customWidth="1"/>
    <col min="5" max="5" width="16.42578125" style="22" customWidth="1"/>
    <col min="6" max="6" width="10.7109375" style="22" customWidth="1"/>
    <col min="7" max="7" width="22.7109375" style="22" customWidth="1"/>
    <col min="8" max="8" width="22.42578125" style="22" customWidth="1"/>
    <col min="9" max="9" width="26.28515625" style="22" customWidth="1"/>
    <col min="10" max="10" width="13" style="22" customWidth="1"/>
    <col min="11" max="11" width="70.140625" style="22" customWidth="1"/>
    <col min="12" max="16384" width="9.140625" style="22"/>
  </cols>
  <sheetData>
    <row r="1" spans="1:11" ht="64.150000000000006" customHeight="1">
      <c r="A1" s="1" t="s">
        <v>0</v>
      </c>
      <c r="C1" s="21" t="s">
        <v>1</v>
      </c>
      <c r="D1" s="21" t="s">
        <v>2</v>
      </c>
      <c r="E1" s="21" t="s">
        <v>173</v>
      </c>
      <c r="F1" s="21" t="s">
        <v>3</v>
      </c>
      <c r="G1" s="21" t="s">
        <v>174</v>
      </c>
      <c r="H1" s="21" t="s">
        <v>175</v>
      </c>
      <c r="I1" s="21" t="s">
        <v>4</v>
      </c>
      <c r="J1" s="21" t="s">
        <v>5</v>
      </c>
      <c r="K1" s="21" t="s">
        <v>6</v>
      </c>
    </row>
    <row r="2" spans="1:11" ht="45">
      <c r="A2" s="1">
        <f>ROWS($A$2:A2)</f>
        <v>1</v>
      </c>
      <c r="B2" s="1" t="str">
        <f t="shared" ref="B2:B63" si="0">IF(ISNUMBER(FIND("right",LOWER(C2))),"Even",
IF(ISNUMBER(FIND("left",LOWER(C2))),"Odd","Generic"))</f>
        <v>Generic</v>
      </c>
      <c r="C2" s="23" t="s">
        <v>7</v>
      </c>
      <c r="D2" s="23" t="s">
        <v>8</v>
      </c>
      <c r="E2" s="24" t="s">
        <v>176</v>
      </c>
      <c r="F2" s="24" t="s">
        <v>9</v>
      </c>
      <c r="G2" s="23" t="s">
        <v>177</v>
      </c>
      <c r="H2" s="23" t="s">
        <v>178</v>
      </c>
      <c r="I2" s="23" t="s">
        <v>10</v>
      </c>
      <c r="J2" s="25" t="s">
        <v>11</v>
      </c>
      <c r="K2" s="24"/>
    </row>
    <row r="3" spans="1:11" ht="45">
      <c r="A3" s="1">
        <f>ROWS($A$2:A3)</f>
        <v>2</v>
      </c>
      <c r="B3" s="1" t="str">
        <f t="shared" si="0"/>
        <v>Generic</v>
      </c>
      <c r="C3" s="23" t="s">
        <v>12</v>
      </c>
      <c r="D3" s="23" t="s">
        <v>13</v>
      </c>
      <c r="E3" s="24" t="s">
        <v>176</v>
      </c>
      <c r="F3" s="24" t="s">
        <v>9</v>
      </c>
      <c r="G3" s="23" t="s">
        <v>177</v>
      </c>
      <c r="H3" s="23" t="s">
        <v>178</v>
      </c>
      <c r="I3" s="23" t="s">
        <v>14</v>
      </c>
      <c r="J3" s="25" t="s">
        <v>11</v>
      </c>
      <c r="K3" s="24" t="s">
        <v>15</v>
      </c>
    </row>
    <row r="4" spans="1:11" ht="75">
      <c r="A4" s="1">
        <f>ROWS($A$2:A4)</f>
        <v>3</v>
      </c>
      <c r="B4" s="1" t="str">
        <f t="shared" si="0"/>
        <v>Generic</v>
      </c>
      <c r="C4" s="23" t="s">
        <v>16</v>
      </c>
      <c r="D4" s="23" t="s">
        <v>17</v>
      </c>
      <c r="E4" s="24" t="s">
        <v>176</v>
      </c>
      <c r="F4" s="24" t="s">
        <v>9</v>
      </c>
      <c r="G4" s="24" t="s">
        <v>179</v>
      </c>
      <c r="H4" s="23" t="s">
        <v>180</v>
      </c>
      <c r="I4" s="23" t="s">
        <v>18</v>
      </c>
      <c r="J4" s="25" t="s">
        <v>11</v>
      </c>
      <c r="K4" s="24"/>
    </row>
    <row r="5" spans="1:11" ht="90">
      <c r="A5" s="1">
        <f>ROWS($A$2:A5)</f>
        <v>4</v>
      </c>
      <c r="B5" s="1" t="str">
        <f t="shared" si="0"/>
        <v>Generic</v>
      </c>
      <c r="C5" s="23" t="s">
        <v>19</v>
      </c>
      <c r="D5" s="23" t="s">
        <v>20</v>
      </c>
      <c r="E5" s="24" t="s">
        <v>176</v>
      </c>
      <c r="F5" s="24" t="s">
        <v>9</v>
      </c>
      <c r="G5" s="24" t="s">
        <v>181</v>
      </c>
      <c r="H5" s="23" t="s">
        <v>181</v>
      </c>
      <c r="I5" s="23" t="s">
        <v>21</v>
      </c>
      <c r="J5" s="25" t="s">
        <v>22</v>
      </c>
      <c r="K5" s="24" t="s">
        <v>23</v>
      </c>
    </row>
    <row r="6" spans="1:11" ht="165">
      <c r="A6" s="1">
        <f>ROWS($A$2:A6)</f>
        <v>5</v>
      </c>
      <c r="B6" s="1" t="str">
        <f t="shared" si="0"/>
        <v>Generic</v>
      </c>
      <c r="C6" s="23" t="s">
        <v>24</v>
      </c>
      <c r="D6" s="23" t="s">
        <v>25</v>
      </c>
      <c r="E6" s="24" t="s">
        <v>176</v>
      </c>
      <c r="F6" s="24" t="s">
        <v>26</v>
      </c>
      <c r="G6" s="24" t="s">
        <v>182</v>
      </c>
      <c r="H6" s="23" t="s">
        <v>178</v>
      </c>
      <c r="I6" s="23" t="s">
        <v>27</v>
      </c>
      <c r="J6" s="25" t="s">
        <v>11</v>
      </c>
      <c r="K6" s="24" t="s">
        <v>28</v>
      </c>
    </row>
    <row r="7" spans="1:11" ht="105">
      <c r="A7" s="1">
        <f>ROWS($A$2:A7)</f>
        <v>6</v>
      </c>
      <c r="B7" s="1" t="str">
        <f t="shared" si="0"/>
        <v>Generic</v>
      </c>
      <c r="C7" s="23" t="s">
        <v>29</v>
      </c>
      <c r="D7" s="23" t="s">
        <v>30</v>
      </c>
      <c r="E7" s="24" t="s">
        <v>176</v>
      </c>
      <c r="F7" s="24" t="s">
        <v>9</v>
      </c>
      <c r="G7" s="26" t="s">
        <v>181</v>
      </c>
      <c r="H7" s="23" t="s">
        <v>178</v>
      </c>
      <c r="I7" s="23" t="s">
        <v>31</v>
      </c>
      <c r="J7" s="25" t="s">
        <v>11</v>
      </c>
      <c r="K7" s="23"/>
    </row>
    <row r="8" spans="1:11" ht="120">
      <c r="A8" s="1">
        <f>ROWS($A$2:A8)</f>
        <v>7</v>
      </c>
      <c r="B8" s="1" t="str">
        <f t="shared" si="0"/>
        <v>Generic</v>
      </c>
      <c r="C8" s="23" t="s">
        <v>32</v>
      </c>
      <c r="D8" s="23" t="s">
        <v>33</v>
      </c>
      <c r="E8" s="24" t="s">
        <v>176</v>
      </c>
      <c r="F8" s="24" t="s">
        <v>26</v>
      </c>
      <c r="G8" s="24" t="s">
        <v>183</v>
      </c>
      <c r="H8" s="23" t="s">
        <v>178</v>
      </c>
      <c r="I8" s="23" t="s">
        <v>34</v>
      </c>
      <c r="J8" s="25" t="s">
        <v>11</v>
      </c>
      <c r="K8" s="24" t="s">
        <v>35</v>
      </c>
    </row>
    <row r="9" spans="1:11" ht="105">
      <c r="A9" s="1">
        <f>ROWS($A$2:A9)</f>
        <v>8</v>
      </c>
      <c r="B9" s="1" t="str">
        <f t="shared" si="0"/>
        <v>Generic</v>
      </c>
      <c r="C9" s="23" t="s">
        <v>36</v>
      </c>
      <c r="D9" s="23" t="s">
        <v>37</v>
      </c>
      <c r="E9" s="24" t="s">
        <v>176</v>
      </c>
      <c r="F9" s="24" t="s">
        <v>26</v>
      </c>
      <c r="G9" s="26" t="s">
        <v>184</v>
      </c>
      <c r="H9" s="23" t="s">
        <v>178</v>
      </c>
      <c r="I9" s="23" t="s">
        <v>38</v>
      </c>
      <c r="J9" s="25" t="s">
        <v>11</v>
      </c>
      <c r="K9" s="24" t="s">
        <v>39</v>
      </c>
    </row>
    <row r="10" spans="1:11" ht="45">
      <c r="A10" s="1">
        <f>ROWS($A$2:A10)</f>
        <v>9</v>
      </c>
      <c r="B10" s="1" t="str">
        <f t="shared" si="0"/>
        <v>Generic</v>
      </c>
      <c r="C10" s="23" t="s">
        <v>40</v>
      </c>
      <c r="D10" s="23" t="s">
        <v>185</v>
      </c>
      <c r="E10" s="24" t="s">
        <v>176</v>
      </c>
      <c r="F10" s="24" t="s">
        <v>26</v>
      </c>
      <c r="G10" s="23" t="s">
        <v>181</v>
      </c>
      <c r="H10" s="23" t="s">
        <v>181</v>
      </c>
      <c r="I10" s="23" t="s">
        <v>42</v>
      </c>
      <c r="J10" s="23" t="s">
        <v>11</v>
      </c>
      <c r="K10" s="24"/>
    </row>
    <row r="11" spans="1:11" ht="75">
      <c r="A11" s="1">
        <f>ROWS($A$2:A11)</f>
        <v>10</v>
      </c>
      <c r="B11" s="1" t="str">
        <f t="shared" si="0"/>
        <v>Generic</v>
      </c>
      <c r="C11" s="23" t="s">
        <v>43</v>
      </c>
      <c r="D11" s="23" t="s">
        <v>44</v>
      </c>
      <c r="E11" s="24" t="s">
        <v>176</v>
      </c>
      <c r="F11" s="24" t="s">
        <v>9</v>
      </c>
      <c r="G11" s="24" t="s">
        <v>181</v>
      </c>
      <c r="H11" s="23" t="s">
        <v>178</v>
      </c>
      <c r="I11" s="23" t="s">
        <v>45</v>
      </c>
      <c r="J11" s="24" t="s">
        <v>11</v>
      </c>
      <c r="K11" s="23"/>
    </row>
    <row r="12" spans="1:11" ht="75">
      <c r="A12" s="1">
        <f>ROWS($A$2:A12)</f>
        <v>11</v>
      </c>
      <c r="B12" s="1" t="str">
        <f t="shared" si="0"/>
        <v>Generic</v>
      </c>
      <c r="C12" s="23" t="s">
        <v>46</v>
      </c>
      <c r="D12" s="23" t="s">
        <v>47</v>
      </c>
      <c r="E12" s="24" t="s">
        <v>176</v>
      </c>
      <c r="F12" s="24" t="s">
        <v>9</v>
      </c>
      <c r="G12" s="24" t="s">
        <v>183</v>
      </c>
      <c r="H12" s="23" t="s">
        <v>178</v>
      </c>
      <c r="I12" s="23" t="s">
        <v>48</v>
      </c>
      <c r="J12" s="23" t="s">
        <v>11</v>
      </c>
      <c r="K12" s="24" t="s">
        <v>49</v>
      </c>
    </row>
    <row r="13" spans="1:11" ht="75">
      <c r="A13" s="1">
        <f>ROWS($A$2:A13)</f>
        <v>12</v>
      </c>
      <c r="B13" s="1" t="str">
        <f t="shared" si="0"/>
        <v>Generic</v>
      </c>
      <c r="C13" s="23" t="s">
        <v>50</v>
      </c>
      <c r="D13" s="23" t="s">
        <v>186</v>
      </c>
      <c r="E13" s="24" t="s">
        <v>176</v>
      </c>
      <c r="F13" s="24" t="s">
        <v>9</v>
      </c>
      <c r="G13" s="23" t="s">
        <v>187</v>
      </c>
      <c r="H13" s="23" t="s">
        <v>178</v>
      </c>
      <c r="I13" s="23" t="s">
        <v>52</v>
      </c>
      <c r="J13" s="25" t="s">
        <v>11</v>
      </c>
      <c r="K13" s="24"/>
    </row>
    <row r="14" spans="1:11" ht="75">
      <c r="A14" s="1">
        <f>ROWS($A$2:A14)</f>
        <v>13</v>
      </c>
      <c r="B14" s="1" t="str">
        <f t="shared" si="0"/>
        <v>Generic</v>
      </c>
      <c r="C14" s="23" t="s">
        <v>53</v>
      </c>
      <c r="D14" s="23" t="s">
        <v>54</v>
      </c>
      <c r="E14" s="24" t="s">
        <v>176</v>
      </c>
      <c r="F14" s="24" t="s">
        <v>9</v>
      </c>
      <c r="G14" s="23" t="s">
        <v>187</v>
      </c>
      <c r="H14" s="23" t="s">
        <v>178</v>
      </c>
      <c r="I14" s="23" t="s">
        <v>55</v>
      </c>
      <c r="J14" s="25" t="s">
        <v>11</v>
      </c>
      <c r="K14" s="24" t="s">
        <v>56</v>
      </c>
    </row>
    <row r="15" spans="1:11" ht="45">
      <c r="A15" s="1">
        <f>ROWS($A$2:A15)</f>
        <v>14</v>
      </c>
      <c r="B15" s="1" t="str">
        <f t="shared" si="0"/>
        <v>Generic</v>
      </c>
      <c r="C15" s="23" t="s">
        <v>57</v>
      </c>
      <c r="D15" s="23" t="s">
        <v>58</v>
      </c>
      <c r="E15" s="24" t="s">
        <v>176</v>
      </c>
      <c r="F15" s="24" t="s">
        <v>9</v>
      </c>
      <c r="G15" s="23" t="s">
        <v>181</v>
      </c>
      <c r="H15" s="23" t="s">
        <v>181</v>
      </c>
      <c r="I15" s="23" t="s">
        <v>59</v>
      </c>
      <c r="J15" s="25" t="s">
        <v>11</v>
      </c>
      <c r="K15" s="23"/>
    </row>
    <row r="16" spans="1:11" ht="75">
      <c r="A16" s="1">
        <f>ROWS($A$2:A16)</f>
        <v>15</v>
      </c>
      <c r="B16" s="1" t="str">
        <f t="shared" si="0"/>
        <v>Generic</v>
      </c>
      <c r="C16" s="24" t="s">
        <v>60</v>
      </c>
      <c r="D16" s="24" t="s">
        <v>60</v>
      </c>
      <c r="E16" s="24" t="s">
        <v>176</v>
      </c>
      <c r="F16" s="24" t="s">
        <v>9</v>
      </c>
      <c r="G16" s="24" t="s">
        <v>179</v>
      </c>
      <c r="H16" s="23" t="s">
        <v>180</v>
      </c>
      <c r="I16" s="24" t="s">
        <v>61</v>
      </c>
      <c r="J16" s="27" t="s">
        <v>62</v>
      </c>
      <c r="K16" s="28"/>
    </row>
    <row r="17" spans="1:11" ht="30">
      <c r="A17" s="1">
        <f>ROWS($A$2:A17)</f>
        <v>16</v>
      </c>
      <c r="B17" s="1" t="str">
        <f t="shared" si="0"/>
        <v>Generic</v>
      </c>
      <c r="C17" s="23" t="s">
        <v>63</v>
      </c>
      <c r="D17" s="23" t="s">
        <v>64</v>
      </c>
      <c r="E17" s="24" t="s">
        <v>176</v>
      </c>
      <c r="F17" s="24" t="s">
        <v>9</v>
      </c>
      <c r="G17" s="24" t="s">
        <v>181</v>
      </c>
      <c r="H17" s="23" t="s">
        <v>181</v>
      </c>
      <c r="I17" s="23" t="s">
        <v>65</v>
      </c>
      <c r="J17" s="29" t="s">
        <v>22</v>
      </c>
      <c r="K17" s="24" t="s">
        <v>66</v>
      </c>
    </row>
    <row r="18" spans="1:11" ht="105">
      <c r="A18" s="1">
        <f>ROWS($A$2:A18)</f>
        <v>17</v>
      </c>
      <c r="B18" s="1" t="str">
        <f t="shared" si="0"/>
        <v>Generic</v>
      </c>
      <c r="C18" s="30" t="s">
        <v>188</v>
      </c>
      <c r="D18" s="23" t="s">
        <v>189</v>
      </c>
      <c r="E18" s="23" t="s">
        <v>176</v>
      </c>
      <c r="F18" s="23" t="s">
        <v>26</v>
      </c>
      <c r="G18" s="24" t="s">
        <v>179</v>
      </c>
      <c r="H18" s="23" t="s">
        <v>180</v>
      </c>
      <c r="I18" s="23" t="s">
        <v>190</v>
      </c>
      <c r="J18" s="23" t="s">
        <v>191</v>
      </c>
      <c r="K18" s="23" t="s">
        <v>192</v>
      </c>
    </row>
    <row r="19" spans="1:11" ht="165">
      <c r="A19" s="1">
        <f>ROWS($A$2:A19)</f>
        <v>18</v>
      </c>
      <c r="B19" s="1" t="str">
        <f t="shared" si="0"/>
        <v>Generic</v>
      </c>
      <c r="C19" s="30" t="s">
        <v>193</v>
      </c>
      <c r="D19" s="23" t="s">
        <v>194</v>
      </c>
      <c r="E19" s="23" t="s">
        <v>176</v>
      </c>
      <c r="F19" s="23" t="s">
        <v>9</v>
      </c>
      <c r="G19" s="23" t="s">
        <v>195</v>
      </c>
      <c r="H19" s="23" t="s">
        <v>178</v>
      </c>
      <c r="I19" s="23" t="s">
        <v>196</v>
      </c>
      <c r="J19" s="23" t="s">
        <v>77</v>
      </c>
      <c r="K19" s="23"/>
    </row>
    <row r="20" spans="1:11" s="31" customFormat="1" ht="180">
      <c r="A20" s="1">
        <f>ROWS($A$2:A20)</f>
        <v>19</v>
      </c>
      <c r="B20" s="1" t="str">
        <f>IF(ISNUMBER(FIND("right",LOWER(C20))),"Even",
IF(ISNUMBER(FIND("left",LOWER(C20))),"Odd","Generic"))</f>
        <v>Odd</v>
      </c>
      <c r="C20" s="30" t="s">
        <v>197</v>
      </c>
      <c r="D20" s="23" t="s">
        <v>198</v>
      </c>
      <c r="E20" s="23" t="s">
        <v>176</v>
      </c>
      <c r="F20" s="23" t="s">
        <v>9</v>
      </c>
      <c r="G20" s="23" t="s">
        <v>181</v>
      </c>
      <c r="H20" s="23" t="s">
        <v>181</v>
      </c>
      <c r="I20" s="23" t="s">
        <v>199</v>
      </c>
      <c r="J20" s="23" t="s">
        <v>77</v>
      </c>
      <c r="K20" s="23"/>
    </row>
    <row r="21" spans="1:11" s="31" customFormat="1" ht="180">
      <c r="A21" s="1">
        <f>ROWS($A$2:A21)</f>
        <v>20</v>
      </c>
      <c r="B21" s="1" t="str">
        <f>IF(ISNUMBER(FIND("right",LOWER(C21))),"Even",
IF(ISNUMBER(FIND("left",LOWER(C21))),"Odd","Generic"))</f>
        <v>Even</v>
      </c>
      <c r="C21" s="30" t="s">
        <v>200</v>
      </c>
      <c r="D21" s="23" t="s">
        <v>201</v>
      </c>
      <c r="E21" s="23" t="s">
        <v>176</v>
      </c>
      <c r="F21" s="23" t="s">
        <v>9</v>
      </c>
      <c r="G21" s="23" t="s">
        <v>181</v>
      </c>
      <c r="H21" s="23" t="s">
        <v>181</v>
      </c>
      <c r="I21" s="23" t="s">
        <v>202</v>
      </c>
      <c r="J21" s="23" t="s">
        <v>77</v>
      </c>
      <c r="K21" s="23"/>
    </row>
    <row r="22" spans="1:11" ht="165">
      <c r="A22" s="1">
        <f>ROWS($A$2:A22)</f>
        <v>21</v>
      </c>
      <c r="B22" s="1" t="str">
        <f>IF(ISNUMBER(FIND("right",LOWER(C22))),"Even",
IF(ISNUMBER(FIND("left",LOWER(C22))),"Odd","Generic"))</f>
        <v>Odd</v>
      </c>
      <c r="C22" s="30" t="s">
        <v>203</v>
      </c>
      <c r="D22" s="23" t="s">
        <v>204</v>
      </c>
      <c r="E22" s="23" t="s">
        <v>176</v>
      </c>
      <c r="F22" s="23" t="s">
        <v>9</v>
      </c>
      <c r="G22" s="23" t="s">
        <v>195</v>
      </c>
      <c r="H22" s="23" t="s">
        <v>178</v>
      </c>
      <c r="I22" s="23" t="s">
        <v>205</v>
      </c>
      <c r="J22" s="23" t="s">
        <v>77</v>
      </c>
      <c r="K22" s="23"/>
    </row>
    <row r="23" spans="1:11" ht="165">
      <c r="A23" s="1">
        <f>ROWS($A$2:A23)</f>
        <v>22</v>
      </c>
      <c r="B23" s="1" t="str">
        <f t="shared" si="0"/>
        <v>Even</v>
      </c>
      <c r="C23" s="30" t="s">
        <v>206</v>
      </c>
      <c r="D23" s="23" t="s">
        <v>207</v>
      </c>
      <c r="E23" s="23" t="s">
        <v>176</v>
      </c>
      <c r="F23" s="23" t="s">
        <v>9</v>
      </c>
      <c r="G23" s="23" t="s">
        <v>195</v>
      </c>
      <c r="H23" s="23" t="s">
        <v>178</v>
      </c>
      <c r="I23" s="23" t="s">
        <v>208</v>
      </c>
      <c r="J23" s="23" t="s">
        <v>77</v>
      </c>
      <c r="K23" s="23"/>
    </row>
    <row r="24" spans="1:11" ht="142.5" customHeight="1">
      <c r="A24" s="1">
        <f>ROWS($A$2:A24)</f>
        <v>23</v>
      </c>
      <c r="B24" s="1" t="str">
        <f>IF(ISNUMBER(FIND("right",LOWER(C24))),"Even",
IF(ISNUMBER(FIND("left",LOWER(C24))),"Odd","Generic"))</f>
        <v>Odd</v>
      </c>
      <c r="C24" s="30" t="s">
        <v>209</v>
      </c>
      <c r="D24" s="23" t="s">
        <v>210</v>
      </c>
      <c r="E24" s="23" t="s">
        <v>176</v>
      </c>
      <c r="F24" s="23" t="s">
        <v>9</v>
      </c>
      <c r="G24" s="23" t="s">
        <v>195</v>
      </c>
      <c r="H24" s="23" t="s">
        <v>178</v>
      </c>
      <c r="I24" s="23" t="s">
        <v>211</v>
      </c>
      <c r="J24" s="30" t="s">
        <v>212</v>
      </c>
      <c r="K24" s="30" t="s">
        <v>213</v>
      </c>
    </row>
    <row r="25" spans="1:11" ht="145.5" customHeight="1">
      <c r="A25" s="1">
        <f>ROWS($A$2:A25)</f>
        <v>24</v>
      </c>
      <c r="B25" s="1" t="str">
        <f t="shared" si="0"/>
        <v>Even</v>
      </c>
      <c r="C25" s="30" t="s">
        <v>214</v>
      </c>
      <c r="D25" s="23" t="s">
        <v>215</v>
      </c>
      <c r="E25" s="23" t="s">
        <v>176</v>
      </c>
      <c r="F25" s="23" t="s">
        <v>9</v>
      </c>
      <c r="G25" s="23" t="s">
        <v>195</v>
      </c>
      <c r="H25" s="23" t="s">
        <v>178</v>
      </c>
      <c r="I25" s="23" t="s">
        <v>216</v>
      </c>
      <c r="J25" s="30" t="s">
        <v>212</v>
      </c>
      <c r="K25" s="30" t="s">
        <v>213</v>
      </c>
    </row>
    <row r="26" spans="1:11" ht="30">
      <c r="A26" s="1">
        <f>ROWS($A$2:A26)</f>
        <v>25</v>
      </c>
      <c r="B26" s="1" t="str">
        <f>IF(ISNUMBER(FIND("right",LOWER(C26))),"Even",
IF(ISNUMBER(FIND("left",LOWER(C26))),"Odd","Generic"))</f>
        <v>Odd</v>
      </c>
      <c r="C26" s="30" t="s">
        <v>217</v>
      </c>
      <c r="D26" s="23" t="s">
        <v>218</v>
      </c>
      <c r="E26" s="23" t="s">
        <v>176</v>
      </c>
      <c r="F26" s="23" t="s">
        <v>26</v>
      </c>
      <c r="G26" s="23" t="s">
        <v>181</v>
      </c>
      <c r="H26" s="23" t="s">
        <v>181</v>
      </c>
      <c r="I26" s="23" t="s">
        <v>219</v>
      </c>
      <c r="J26" s="23" t="s">
        <v>139</v>
      </c>
      <c r="K26" s="30" t="s">
        <v>220</v>
      </c>
    </row>
    <row r="27" spans="1:11" ht="45">
      <c r="A27" s="1">
        <f>ROWS($A$2:A27)</f>
        <v>26</v>
      </c>
      <c r="B27" s="1" t="str">
        <f t="shared" si="0"/>
        <v>Even</v>
      </c>
      <c r="C27" s="30" t="s">
        <v>221</v>
      </c>
      <c r="D27" s="23" t="s">
        <v>222</v>
      </c>
      <c r="E27" s="23" t="s">
        <v>176</v>
      </c>
      <c r="F27" s="23" t="s">
        <v>26</v>
      </c>
      <c r="G27" s="23" t="s">
        <v>181</v>
      </c>
      <c r="H27" s="23" t="s">
        <v>181</v>
      </c>
      <c r="I27" s="23" t="s">
        <v>223</v>
      </c>
      <c r="J27" s="23" t="s">
        <v>139</v>
      </c>
      <c r="K27" s="30" t="s">
        <v>224</v>
      </c>
    </row>
    <row r="28" spans="1:11" ht="165">
      <c r="A28" s="1">
        <f>ROWS($A$2:A28)</f>
        <v>27</v>
      </c>
      <c r="B28" s="1" t="str">
        <f>IF(ISNUMBER(FIND("right",LOWER(C28))),"Even",
IF(ISNUMBER(FIND("left",LOWER(C28))),"Odd","Generic"))</f>
        <v>Odd</v>
      </c>
      <c r="C28" s="30" t="s">
        <v>225</v>
      </c>
      <c r="D28" s="23" t="s">
        <v>226</v>
      </c>
      <c r="E28" s="23" t="s">
        <v>176</v>
      </c>
      <c r="F28" s="23" t="s">
        <v>9</v>
      </c>
      <c r="G28" s="23" t="s">
        <v>195</v>
      </c>
      <c r="H28" s="23" t="s">
        <v>178</v>
      </c>
      <c r="I28" s="23" t="s">
        <v>227</v>
      </c>
      <c r="J28" s="30" t="s">
        <v>139</v>
      </c>
      <c r="K28" s="23" t="s">
        <v>228</v>
      </c>
    </row>
    <row r="29" spans="1:11" ht="165">
      <c r="A29" s="1">
        <f>ROWS($A$2:A29)</f>
        <v>28</v>
      </c>
      <c r="B29" s="1" t="str">
        <f t="shared" si="0"/>
        <v>Even</v>
      </c>
      <c r="C29" s="30" t="s">
        <v>229</v>
      </c>
      <c r="D29" s="23" t="s">
        <v>230</v>
      </c>
      <c r="E29" s="23" t="s">
        <v>176</v>
      </c>
      <c r="F29" s="23" t="s">
        <v>9</v>
      </c>
      <c r="G29" s="23" t="s">
        <v>195</v>
      </c>
      <c r="H29" s="23" t="s">
        <v>178</v>
      </c>
      <c r="I29" s="23" t="s">
        <v>231</v>
      </c>
      <c r="J29" s="30" t="s">
        <v>139</v>
      </c>
      <c r="K29" s="23" t="s">
        <v>228</v>
      </c>
    </row>
    <row r="30" spans="1:11" ht="165">
      <c r="A30" s="1">
        <f>ROWS($A$2:A30)</f>
        <v>29</v>
      </c>
      <c r="B30" s="1" t="str">
        <f>IF(ISNUMBER(FIND("right",LOWER(C30))),"Even",
IF(ISNUMBER(FIND("left",LOWER(C30))),"Odd","Generic"))</f>
        <v>Odd</v>
      </c>
      <c r="C30" s="30" t="s">
        <v>232</v>
      </c>
      <c r="D30" s="23" t="s">
        <v>233</v>
      </c>
      <c r="E30" s="23" t="s">
        <v>176</v>
      </c>
      <c r="F30" s="23" t="s">
        <v>9</v>
      </c>
      <c r="G30" s="23" t="s">
        <v>195</v>
      </c>
      <c r="H30" s="23" t="s">
        <v>178</v>
      </c>
      <c r="I30" s="23" t="s">
        <v>234</v>
      </c>
      <c r="J30" s="30" t="s">
        <v>139</v>
      </c>
      <c r="K30" s="23" t="s">
        <v>228</v>
      </c>
    </row>
    <row r="31" spans="1:11" ht="165">
      <c r="A31" s="1">
        <f>ROWS($A$2:A31)</f>
        <v>30</v>
      </c>
      <c r="B31" s="1" t="str">
        <f t="shared" si="0"/>
        <v>Even</v>
      </c>
      <c r="C31" s="30" t="s">
        <v>235</v>
      </c>
      <c r="D31" s="23" t="s">
        <v>236</v>
      </c>
      <c r="E31" s="23" t="s">
        <v>176</v>
      </c>
      <c r="F31" s="23" t="s">
        <v>9</v>
      </c>
      <c r="G31" s="23" t="s">
        <v>195</v>
      </c>
      <c r="H31" s="23" t="s">
        <v>178</v>
      </c>
      <c r="I31" s="23" t="s">
        <v>237</v>
      </c>
      <c r="J31" s="30" t="s">
        <v>139</v>
      </c>
      <c r="K31" s="23" t="s">
        <v>228</v>
      </c>
    </row>
    <row r="32" spans="1:11" ht="165">
      <c r="A32" s="1">
        <f>ROWS($A$2:A32)</f>
        <v>31</v>
      </c>
      <c r="B32" s="1" t="str">
        <f>IF(ISNUMBER(FIND("right",LOWER(C32))),"Even",
IF(ISNUMBER(FIND("left",LOWER(C32))),"Odd","Generic"))</f>
        <v>Odd</v>
      </c>
      <c r="C32" s="30" t="s">
        <v>238</v>
      </c>
      <c r="D32" s="23" t="s">
        <v>239</v>
      </c>
      <c r="E32" s="23" t="s">
        <v>176</v>
      </c>
      <c r="F32" s="23" t="s">
        <v>9</v>
      </c>
      <c r="G32" s="23" t="s">
        <v>195</v>
      </c>
      <c r="H32" s="23" t="s">
        <v>178</v>
      </c>
      <c r="I32" s="23" t="s">
        <v>240</v>
      </c>
      <c r="J32" s="30" t="s">
        <v>139</v>
      </c>
      <c r="K32" s="23" t="s">
        <v>228</v>
      </c>
    </row>
    <row r="33" spans="1:11" ht="165">
      <c r="A33" s="1">
        <f>ROWS($A$2:A33)</f>
        <v>32</v>
      </c>
      <c r="B33" s="1" t="str">
        <f t="shared" si="0"/>
        <v>Even</v>
      </c>
      <c r="C33" s="30" t="s">
        <v>241</v>
      </c>
      <c r="D33" s="23" t="s">
        <v>242</v>
      </c>
      <c r="E33" s="23" t="s">
        <v>176</v>
      </c>
      <c r="F33" s="23" t="s">
        <v>9</v>
      </c>
      <c r="G33" s="23" t="s">
        <v>195</v>
      </c>
      <c r="H33" s="23" t="s">
        <v>178</v>
      </c>
      <c r="I33" s="23" t="s">
        <v>243</v>
      </c>
      <c r="J33" s="30" t="s">
        <v>139</v>
      </c>
      <c r="K33" s="23" t="s">
        <v>228</v>
      </c>
    </row>
    <row r="34" spans="1:11" ht="165">
      <c r="A34" s="1">
        <f>ROWS($A$2:A34)</f>
        <v>33</v>
      </c>
      <c r="B34" s="1" t="str">
        <f>IF(ISNUMBER(FIND("right",LOWER(C34))),"Even",
IF(ISNUMBER(FIND("left",LOWER(C34))),"Odd","Generic"))</f>
        <v>Odd</v>
      </c>
      <c r="C34" s="30" t="s">
        <v>244</v>
      </c>
      <c r="D34" s="23" t="s">
        <v>245</v>
      </c>
      <c r="E34" s="23" t="s">
        <v>176</v>
      </c>
      <c r="F34" s="23" t="s">
        <v>9</v>
      </c>
      <c r="G34" s="23" t="s">
        <v>195</v>
      </c>
      <c r="H34" s="23" t="s">
        <v>178</v>
      </c>
      <c r="I34" s="23" t="s">
        <v>246</v>
      </c>
      <c r="J34" s="30" t="s">
        <v>139</v>
      </c>
      <c r="K34" s="23" t="s">
        <v>228</v>
      </c>
    </row>
    <row r="35" spans="1:11" ht="165">
      <c r="A35" s="1">
        <f>ROWS($A$2:A35)</f>
        <v>34</v>
      </c>
      <c r="B35" s="1" t="str">
        <f t="shared" si="0"/>
        <v>Even</v>
      </c>
      <c r="C35" s="30" t="s">
        <v>247</v>
      </c>
      <c r="D35" s="23" t="s">
        <v>248</v>
      </c>
      <c r="E35" s="23" t="s">
        <v>176</v>
      </c>
      <c r="F35" s="23" t="s">
        <v>9</v>
      </c>
      <c r="G35" s="23" t="s">
        <v>195</v>
      </c>
      <c r="H35" s="23" t="s">
        <v>178</v>
      </c>
      <c r="I35" s="23" t="s">
        <v>249</v>
      </c>
      <c r="J35" s="30" t="s">
        <v>139</v>
      </c>
      <c r="K35" s="23" t="s">
        <v>228</v>
      </c>
    </row>
    <row r="36" spans="1:11" ht="165">
      <c r="A36" s="1">
        <f>ROWS($A$2:A36)</f>
        <v>35</v>
      </c>
      <c r="B36" s="1" t="str">
        <f>IF(ISNUMBER(FIND("right",LOWER(C36))),"Even",
IF(ISNUMBER(FIND("left",LOWER(C36))),"Odd","Generic"))</f>
        <v>Odd</v>
      </c>
      <c r="C36" s="23" t="s">
        <v>250</v>
      </c>
      <c r="D36" s="23" t="s">
        <v>251</v>
      </c>
      <c r="E36" s="23" t="s">
        <v>176</v>
      </c>
      <c r="F36" s="23" t="s">
        <v>9</v>
      </c>
      <c r="G36" s="23" t="s">
        <v>195</v>
      </c>
      <c r="H36" s="23" t="s">
        <v>178</v>
      </c>
      <c r="I36" s="23" t="s">
        <v>252</v>
      </c>
      <c r="J36" s="30" t="s">
        <v>139</v>
      </c>
      <c r="K36" s="23" t="s">
        <v>228</v>
      </c>
    </row>
    <row r="37" spans="1:11" ht="165">
      <c r="A37" s="1">
        <f>ROWS($A$2:A37)</f>
        <v>36</v>
      </c>
      <c r="B37" s="1" t="str">
        <f t="shared" si="0"/>
        <v>Even</v>
      </c>
      <c r="C37" s="23" t="s">
        <v>253</v>
      </c>
      <c r="D37" s="23" t="s">
        <v>254</v>
      </c>
      <c r="E37" s="23" t="s">
        <v>176</v>
      </c>
      <c r="F37" s="23" t="s">
        <v>9</v>
      </c>
      <c r="G37" s="23" t="s">
        <v>195</v>
      </c>
      <c r="H37" s="23" t="s">
        <v>178</v>
      </c>
      <c r="I37" s="23" t="s">
        <v>255</v>
      </c>
      <c r="J37" s="30" t="s">
        <v>139</v>
      </c>
      <c r="K37" s="23" t="s">
        <v>228</v>
      </c>
    </row>
    <row r="38" spans="1:11" ht="165">
      <c r="A38" s="1">
        <f>ROWS($A$2:A38)</f>
        <v>37</v>
      </c>
      <c r="B38" s="1" t="str">
        <f>IF(ISNUMBER(FIND("right",LOWER(C38))),"Even",
IF(ISNUMBER(FIND("left",LOWER(C38))),"Odd","Generic"))</f>
        <v>Odd</v>
      </c>
      <c r="C38" s="23" t="s">
        <v>256</v>
      </c>
      <c r="D38" s="23" t="s">
        <v>257</v>
      </c>
      <c r="E38" s="23" t="s">
        <v>176</v>
      </c>
      <c r="F38" s="23" t="s">
        <v>9</v>
      </c>
      <c r="G38" s="23" t="s">
        <v>195</v>
      </c>
      <c r="H38" s="23" t="s">
        <v>178</v>
      </c>
      <c r="I38" s="23" t="s">
        <v>258</v>
      </c>
      <c r="J38" s="30" t="s">
        <v>139</v>
      </c>
      <c r="K38" s="23" t="s">
        <v>228</v>
      </c>
    </row>
    <row r="39" spans="1:11" ht="165">
      <c r="A39" s="1">
        <f>ROWS($A$2:A39)</f>
        <v>38</v>
      </c>
      <c r="B39" s="1" t="str">
        <f t="shared" si="0"/>
        <v>Even</v>
      </c>
      <c r="C39" s="23" t="s">
        <v>259</v>
      </c>
      <c r="D39" s="23" t="s">
        <v>260</v>
      </c>
      <c r="E39" s="23" t="s">
        <v>176</v>
      </c>
      <c r="F39" s="23" t="s">
        <v>9</v>
      </c>
      <c r="G39" s="23" t="s">
        <v>195</v>
      </c>
      <c r="H39" s="23" t="s">
        <v>178</v>
      </c>
      <c r="I39" s="23" t="s">
        <v>261</v>
      </c>
      <c r="J39" s="30" t="s">
        <v>139</v>
      </c>
      <c r="K39" s="23" t="s">
        <v>228</v>
      </c>
    </row>
    <row r="40" spans="1:11" ht="165">
      <c r="A40" s="1">
        <f>ROWS($A$2:A40)</f>
        <v>39</v>
      </c>
      <c r="B40" s="1" t="str">
        <f>IF(ISNUMBER(FIND("right",LOWER(C40))),"Even",
IF(ISNUMBER(FIND("left",LOWER(C40))),"Odd","Generic"))</f>
        <v>Odd</v>
      </c>
      <c r="C40" s="23" t="s">
        <v>262</v>
      </c>
      <c r="D40" s="23" t="s">
        <v>263</v>
      </c>
      <c r="E40" s="23" t="s">
        <v>176</v>
      </c>
      <c r="F40" s="23" t="s">
        <v>9</v>
      </c>
      <c r="G40" s="23" t="s">
        <v>195</v>
      </c>
      <c r="H40" s="23" t="s">
        <v>178</v>
      </c>
      <c r="I40" s="23" t="s">
        <v>264</v>
      </c>
      <c r="J40" s="30" t="s">
        <v>139</v>
      </c>
      <c r="K40" s="23" t="s">
        <v>228</v>
      </c>
    </row>
    <row r="41" spans="1:11" ht="165">
      <c r="A41" s="1">
        <f>ROWS($A$2:A41)</f>
        <v>40</v>
      </c>
      <c r="B41" s="1" t="str">
        <f t="shared" si="0"/>
        <v>Even</v>
      </c>
      <c r="C41" s="23" t="s">
        <v>265</v>
      </c>
      <c r="D41" s="23" t="s">
        <v>266</v>
      </c>
      <c r="E41" s="23" t="s">
        <v>176</v>
      </c>
      <c r="F41" s="23" t="s">
        <v>9</v>
      </c>
      <c r="G41" s="23" t="s">
        <v>195</v>
      </c>
      <c r="H41" s="23" t="s">
        <v>178</v>
      </c>
      <c r="I41" s="23" t="s">
        <v>267</v>
      </c>
      <c r="J41" s="30" t="s">
        <v>139</v>
      </c>
      <c r="K41" s="23" t="s">
        <v>228</v>
      </c>
    </row>
    <row r="42" spans="1:11" ht="165">
      <c r="A42" s="1">
        <f>ROWS($A$2:A42)</f>
        <v>41</v>
      </c>
      <c r="B42" s="1" t="str">
        <f>IF(ISNUMBER(FIND("right",LOWER(C42))),"Even",
IF(ISNUMBER(FIND("left",LOWER(C42))),"Odd","Generic"))</f>
        <v>Odd</v>
      </c>
      <c r="C42" s="23" t="s">
        <v>268</v>
      </c>
      <c r="D42" s="23" t="s">
        <v>269</v>
      </c>
      <c r="E42" s="23" t="s">
        <v>176</v>
      </c>
      <c r="F42" s="23" t="s">
        <v>9</v>
      </c>
      <c r="G42" s="23" t="s">
        <v>195</v>
      </c>
      <c r="H42" s="23" t="s">
        <v>178</v>
      </c>
      <c r="I42" s="23" t="s">
        <v>270</v>
      </c>
      <c r="J42" s="30" t="s">
        <v>139</v>
      </c>
      <c r="K42" s="23" t="s">
        <v>228</v>
      </c>
    </row>
    <row r="43" spans="1:11" ht="165">
      <c r="A43" s="1">
        <f>ROWS($A$2:A43)</f>
        <v>42</v>
      </c>
      <c r="B43" s="1" t="str">
        <f t="shared" si="0"/>
        <v>Even</v>
      </c>
      <c r="C43" s="23" t="s">
        <v>271</v>
      </c>
      <c r="D43" s="23" t="s">
        <v>272</v>
      </c>
      <c r="E43" s="23" t="s">
        <v>176</v>
      </c>
      <c r="F43" s="23" t="s">
        <v>9</v>
      </c>
      <c r="G43" s="23" t="s">
        <v>195</v>
      </c>
      <c r="H43" s="23" t="s">
        <v>178</v>
      </c>
      <c r="I43" s="23" t="s">
        <v>273</v>
      </c>
      <c r="J43" s="30" t="s">
        <v>139</v>
      </c>
      <c r="K43" s="23" t="s">
        <v>228</v>
      </c>
    </row>
    <row r="44" spans="1:11" ht="165">
      <c r="A44" s="1">
        <f>ROWS($A$2:A44)</f>
        <v>43</v>
      </c>
      <c r="B44" s="1" t="str">
        <f>IF(ISNUMBER(FIND("right",LOWER(C44))),"Even",
IF(ISNUMBER(FIND("left",LOWER(C44))),"Odd","Generic"))</f>
        <v>Odd</v>
      </c>
      <c r="C44" s="23" t="s">
        <v>274</v>
      </c>
      <c r="D44" s="23" t="s">
        <v>275</v>
      </c>
      <c r="E44" s="23" t="s">
        <v>176</v>
      </c>
      <c r="F44" s="23" t="s">
        <v>9</v>
      </c>
      <c r="G44" s="23" t="s">
        <v>195</v>
      </c>
      <c r="H44" s="23" t="s">
        <v>178</v>
      </c>
      <c r="I44" s="23" t="s">
        <v>276</v>
      </c>
      <c r="J44" s="30" t="s">
        <v>139</v>
      </c>
      <c r="K44" s="23" t="s">
        <v>228</v>
      </c>
    </row>
    <row r="45" spans="1:11" ht="165">
      <c r="A45" s="1">
        <f>ROWS($A$2:A45)</f>
        <v>44</v>
      </c>
      <c r="B45" s="1" t="str">
        <f t="shared" si="0"/>
        <v>Even</v>
      </c>
      <c r="C45" s="23" t="s">
        <v>277</v>
      </c>
      <c r="D45" s="23" t="s">
        <v>278</v>
      </c>
      <c r="E45" s="23" t="s">
        <v>176</v>
      </c>
      <c r="F45" s="23" t="s">
        <v>9</v>
      </c>
      <c r="G45" s="23" t="s">
        <v>195</v>
      </c>
      <c r="H45" s="23" t="s">
        <v>178</v>
      </c>
      <c r="I45" s="23" t="s">
        <v>279</v>
      </c>
      <c r="J45" s="30" t="s">
        <v>139</v>
      </c>
      <c r="K45" s="23" t="s">
        <v>228</v>
      </c>
    </row>
    <row r="46" spans="1:11" ht="165">
      <c r="A46" s="1">
        <f>ROWS($A$2:A46)</f>
        <v>45</v>
      </c>
      <c r="B46" s="1" t="str">
        <f>IF(ISNUMBER(FIND("right",LOWER(C46))),"Even",
IF(ISNUMBER(FIND("left",LOWER(C46))),"Odd","Generic"))</f>
        <v>Odd</v>
      </c>
      <c r="C46" s="23" t="s">
        <v>280</v>
      </c>
      <c r="D46" s="23" t="s">
        <v>281</v>
      </c>
      <c r="E46" s="23" t="s">
        <v>176</v>
      </c>
      <c r="F46" s="23" t="s">
        <v>9</v>
      </c>
      <c r="G46" s="23" t="s">
        <v>195</v>
      </c>
      <c r="H46" s="23" t="s">
        <v>178</v>
      </c>
      <c r="I46" s="23" t="s">
        <v>282</v>
      </c>
      <c r="J46" s="30" t="s">
        <v>139</v>
      </c>
      <c r="K46" s="23" t="s">
        <v>228</v>
      </c>
    </row>
    <row r="47" spans="1:11" ht="165">
      <c r="A47" s="1">
        <f>ROWS($A$2:A47)</f>
        <v>46</v>
      </c>
      <c r="B47" s="1" t="str">
        <f t="shared" si="0"/>
        <v>Even</v>
      </c>
      <c r="C47" s="23" t="s">
        <v>283</v>
      </c>
      <c r="D47" s="23" t="s">
        <v>284</v>
      </c>
      <c r="E47" s="23" t="s">
        <v>176</v>
      </c>
      <c r="F47" s="23" t="s">
        <v>9</v>
      </c>
      <c r="G47" s="23" t="s">
        <v>195</v>
      </c>
      <c r="H47" s="23" t="s">
        <v>178</v>
      </c>
      <c r="I47" s="23" t="s">
        <v>285</v>
      </c>
      <c r="J47" s="30" t="s">
        <v>139</v>
      </c>
      <c r="K47" s="23" t="s">
        <v>228</v>
      </c>
    </row>
    <row r="48" spans="1:11" ht="135">
      <c r="A48" s="1">
        <f>ROWS($A$2:A48)</f>
        <v>47</v>
      </c>
      <c r="B48" s="1" t="str">
        <f>IF(ISNUMBER(FIND("right",LOWER(C48))),"Even",
IF(ISNUMBER(FIND("left",LOWER(C48))),"Odd","Generic"))</f>
        <v>Odd</v>
      </c>
      <c r="C48" s="23" t="s">
        <v>286</v>
      </c>
      <c r="D48" s="23" t="s">
        <v>287</v>
      </c>
      <c r="E48" s="24" t="s">
        <v>176</v>
      </c>
      <c r="F48" s="24" t="s">
        <v>26</v>
      </c>
      <c r="G48" s="24" t="s">
        <v>181</v>
      </c>
      <c r="H48" s="23" t="s">
        <v>181</v>
      </c>
      <c r="I48" s="23" t="s">
        <v>288</v>
      </c>
      <c r="J48" s="24" t="s">
        <v>11</v>
      </c>
      <c r="K48" s="24" t="s">
        <v>289</v>
      </c>
    </row>
    <row r="49" spans="1:12" ht="135">
      <c r="A49" s="1">
        <f>ROWS($A$2:A49)</f>
        <v>48</v>
      </c>
      <c r="B49" s="1" t="str">
        <f t="shared" si="0"/>
        <v>Even</v>
      </c>
      <c r="C49" s="23" t="s">
        <v>290</v>
      </c>
      <c r="D49" s="23" t="s">
        <v>291</v>
      </c>
      <c r="E49" s="24" t="s">
        <v>176</v>
      </c>
      <c r="F49" s="24" t="s">
        <v>26</v>
      </c>
      <c r="G49" s="24" t="s">
        <v>181</v>
      </c>
      <c r="H49" s="23" t="s">
        <v>181</v>
      </c>
      <c r="I49" s="23" t="s">
        <v>292</v>
      </c>
      <c r="J49" s="24" t="s">
        <v>11</v>
      </c>
      <c r="K49" s="24" t="s">
        <v>289</v>
      </c>
    </row>
    <row r="50" spans="1:12" ht="165">
      <c r="A50" s="1">
        <f>ROWS($A$2:A50)</f>
        <v>49</v>
      </c>
      <c r="B50" s="1" t="str">
        <f>IF(ISNUMBER(FIND("right",LOWER(C50))),"Even",
IF(ISNUMBER(FIND("left",LOWER(C50))),"Odd","Generic"))</f>
        <v>Odd</v>
      </c>
      <c r="C50" s="23" t="s">
        <v>293</v>
      </c>
      <c r="D50" s="30" t="s">
        <v>294</v>
      </c>
      <c r="E50" s="23" t="s">
        <v>176</v>
      </c>
      <c r="F50" s="23" t="s">
        <v>9</v>
      </c>
      <c r="G50" s="23" t="s">
        <v>195</v>
      </c>
      <c r="H50" s="23" t="s">
        <v>178</v>
      </c>
      <c r="I50" s="23" t="s">
        <v>295</v>
      </c>
      <c r="J50" s="30" t="s">
        <v>139</v>
      </c>
      <c r="K50" s="23" t="s">
        <v>228</v>
      </c>
    </row>
    <row r="51" spans="1:12" ht="165">
      <c r="A51" s="1">
        <f>ROWS($A$2:A51)</f>
        <v>50</v>
      </c>
      <c r="B51" s="1" t="str">
        <f t="shared" si="0"/>
        <v>Even</v>
      </c>
      <c r="C51" s="23" t="s">
        <v>296</v>
      </c>
      <c r="D51" s="30" t="s">
        <v>297</v>
      </c>
      <c r="E51" s="23" t="s">
        <v>176</v>
      </c>
      <c r="F51" s="23" t="s">
        <v>9</v>
      </c>
      <c r="G51" s="23" t="s">
        <v>195</v>
      </c>
      <c r="H51" s="23" t="s">
        <v>178</v>
      </c>
      <c r="I51" s="23" t="s">
        <v>298</v>
      </c>
      <c r="J51" s="30" t="s">
        <v>139</v>
      </c>
      <c r="K51" s="23" t="s">
        <v>228</v>
      </c>
    </row>
    <row r="52" spans="1:12" ht="195">
      <c r="A52" s="1">
        <f>ROWS($A$2:A52)</f>
        <v>51</v>
      </c>
      <c r="B52" s="1" t="str">
        <f>IF(ISNUMBER(FIND("right",LOWER(C52))),"Even",
IF(ISNUMBER(FIND("left",LOWER(C52))),"Odd","Generic"))</f>
        <v>Odd</v>
      </c>
      <c r="C52" s="23" t="s">
        <v>299</v>
      </c>
      <c r="D52" s="30" t="s">
        <v>300</v>
      </c>
      <c r="E52" s="23" t="s">
        <v>176</v>
      </c>
      <c r="F52" s="30" t="s">
        <v>26</v>
      </c>
      <c r="G52" s="23" t="s">
        <v>195</v>
      </c>
      <c r="H52" s="23" t="s">
        <v>178</v>
      </c>
      <c r="I52" s="23" t="s">
        <v>301</v>
      </c>
      <c r="J52" s="30" t="s">
        <v>302</v>
      </c>
    </row>
    <row r="53" spans="1:12" ht="195">
      <c r="A53" s="1">
        <f>ROWS($A$2:A53)</f>
        <v>52</v>
      </c>
      <c r="B53" s="1" t="str">
        <f t="shared" si="0"/>
        <v>Even</v>
      </c>
      <c r="C53" s="23" t="s">
        <v>303</v>
      </c>
      <c r="D53" s="30" t="s">
        <v>304</v>
      </c>
      <c r="E53" s="23" t="s">
        <v>176</v>
      </c>
      <c r="F53" s="30" t="s">
        <v>26</v>
      </c>
      <c r="G53" s="23" t="s">
        <v>195</v>
      </c>
      <c r="H53" s="23" t="s">
        <v>178</v>
      </c>
      <c r="I53" s="23" t="s">
        <v>305</v>
      </c>
      <c r="J53" s="30" t="s">
        <v>302</v>
      </c>
    </row>
    <row r="54" spans="1:12" ht="165">
      <c r="A54" s="1">
        <f>ROWS($A$2:A54)</f>
        <v>53</v>
      </c>
      <c r="B54" s="1" t="str">
        <f>IF(ISNUMBER(FIND("right",LOWER(C54))),"Even",
IF(ISNUMBER(FIND("left",LOWER(C54))),"Odd","Generic"))</f>
        <v>Odd</v>
      </c>
      <c r="C54" s="23" t="s">
        <v>306</v>
      </c>
      <c r="D54" s="30" t="s">
        <v>307</v>
      </c>
      <c r="E54" s="23" t="s">
        <v>176</v>
      </c>
      <c r="F54" s="30" t="s">
        <v>26</v>
      </c>
      <c r="G54" s="23" t="s">
        <v>195</v>
      </c>
      <c r="H54" s="23" t="s">
        <v>178</v>
      </c>
      <c r="I54" s="23" t="s">
        <v>308</v>
      </c>
      <c r="J54" s="30" t="s">
        <v>309</v>
      </c>
      <c r="K54" s="30" t="s">
        <v>310</v>
      </c>
    </row>
    <row r="55" spans="1:12" ht="165">
      <c r="A55" s="1">
        <f>ROWS($A$2:A55)</f>
        <v>54</v>
      </c>
      <c r="B55" s="1" t="str">
        <f t="shared" si="0"/>
        <v>Even</v>
      </c>
      <c r="C55" s="23" t="s">
        <v>311</v>
      </c>
      <c r="D55" s="30" t="s">
        <v>312</v>
      </c>
      <c r="E55" s="23" t="s">
        <v>176</v>
      </c>
      <c r="F55" s="30" t="s">
        <v>26</v>
      </c>
      <c r="G55" s="23" t="s">
        <v>195</v>
      </c>
      <c r="H55" s="23" t="s">
        <v>178</v>
      </c>
      <c r="I55" s="23" t="s">
        <v>313</v>
      </c>
      <c r="J55" s="30" t="s">
        <v>309</v>
      </c>
      <c r="K55" s="30" t="s">
        <v>314</v>
      </c>
    </row>
    <row r="56" spans="1:12" ht="165">
      <c r="A56" s="1">
        <f>ROWS($A$2:A56)</f>
        <v>55</v>
      </c>
      <c r="B56" s="1" t="str">
        <f>IF(ISNUMBER(FIND("right",LOWER(C56))),"Even",
IF(ISNUMBER(FIND("left",LOWER(C56))),"Odd","Generic"))</f>
        <v>Odd</v>
      </c>
      <c r="C56" s="23" t="s">
        <v>315</v>
      </c>
      <c r="D56" s="23" t="s">
        <v>316</v>
      </c>
      <c r="E56" s="23" t="s">
        <v>176</v>
      </c>
      <c r="F56" s="30" t="s">
        <v>9</v>
      </c>
      <c r="G56" s="23" t="s">
        <v>195</v>
      </c>
      <c r="H56" s="23" t="s">
        <v>178</v>
      </c>
      <c r="I56" s="23" t="s">
        <v>317</v>
      </c>
      <c r="J56" s="30" t="s">
        <v>22</v>
      </c>
      <c r="K56" s="23" t="s">
        <v>228</v>
      </c>
    </row>
    <row r="57" spans="1:12" ht="165">
      <c r="A57" s="1">
        <f>ROWS($A$2:A57)</f>
        <v>56</v>
      </c>
      <c r="B57" s="1" t="str">
        <f t="shared" si="0"/>
        <v>Even</v>
      </c>
      <c r="C57" s="23" t="s">
        <v>318</v>
      </c>
      <c r="D57" s="23" t="s">
        <v>319</v>
      </c>
      <c r="E57" s="23" t="s">
        <v>176</v>
      </c>
      <c r="F57" s="30" t="s">
        <v>9</v>
      </c>
      <c r="G57" s="23" t="s">
        <v>195</v>
      </c>
      <c r="H57" s="23" t="s">
        <v>178</v>
      </c>
      <c r="I57" s="23" t="s">
        <v>320</v>
      </c>
      <c r="J57" s="30" t="s">
        <v>22</v>
      </c>
      <c r="K57" s="23" t="s">
        <v>228</v>
      </c>
    </row>
    <row r="58" spans="1:12" ht="240">
      <c r="A58" s="1">
        <f>ROWS($A$2:A58)</f>
        <v>57</v>
      </c>
      <c r="B58" s="1" t="str">
        <f>IF(ISNUMBER(FIND("right",LOWER(C58))),"Even",
IF(ISNUMBER(FIND("left",LOWER(C58))),"Odd","Generic"))</f>
        <v>Odd</v>
      </c>
      <c r="C58" s="23" t="s">
        <v>321</v>
      </c>
      <c r="D58" s="23" t="s">
        <v>322</v>
      </c>
      <c r="E58" s="23" t="s">
        <v>176</v>
      </c>
      <c r="F58" s="30" t="s">
        <v>26</v>
      </c>
      <c r="G58" s="23" t="s">
        <v>195</v>
      </c>
      <c r="H58" s="23" t="s">
        <v>178</v>
      </c>
      <c r="I58" s="23" t="s">
        <v>323</v>
      </c>
      <c r="J58" s="30" t="s">
        <v>22</v>
      </c>
      <c r="K58" s="23" t="s">
        <v>324</v>
      </c>
      <c r="L58" s="22">
        <v>2</v>
      </c>
    </row>
    <row r="59" spans="1:12" ht="94.5" customHeight="1">
      <c r="A59" s="1">
        <f>ROWS($A$2:A59)</f>
        <v>58</v>
      </c>
      <c r="B59" s="1" t="str">
        <f t="shared" si="0"/>
        <v>Even</v>
      </c>
      <c r="C59" s="23" t="s">
        <v>325</v>
      </c>
      <c r="D59" s="23" t="s">
        <v>326</v>
      </c>
      <c r="E59" s="23" t="s">
        <v>176</v>
      </c>
      <c r="F59" s="30" t="s">
        <v>26</v>
      </c>
      <c r="G59" s="23" t="s">
        <v>195</v>
      </c>
      <c r="H59" s="23" t="s">
        <v>178</v>
      </c>
      <c r="I59" s="23" t="s">
        <v>327</v>
      </c>
      <c r="J59" s="30" t="s">
        <v>22</v>
      </c>
      <c r="K59" s="23" t="s">
        <v>328</v>
      </c>
      <c r="L59" s="22">
        <v>4</v>
      </c>
    </row>
    <row r="60" spans="1:12" ht="255">
      <c r="A60" s="1">
        <f>ROWS($A$2:A60)</f>
        <v>59</v>
      </c>
      <c r="B60" s="1" t="str">
        <f>IF(ISNUMBER(FIND("right",LOWER(C60))),"Even",
IF(ISNUMBER(FIND("left",LOWER(C60))),"Odd","Generic"))</f>
        <v>Odd</v>
      </c>
      <c r="C60" s="23" t="s">
        <v>329</v>
      </c>
      <c r="D60" s="23" t="s">
        <v>330</v>
      </c>
      <c r="E60" s="23" t="s">
        <v>176</v>
      </c>
      <c r="F60" s="30" t="s">
        <v>26</v>
      </c>
      <c r="G60" s="23" t="s">
        <v>195</v>
      </c>
      <c r="H60" s="23" t="s">
        <v>178</v>
      </c>
      <c r="I60" s="23" t="s">
        <v>331</v>
      </c>
      <c r="J60" s="30" t="s">
        <v>77</v>
      </c>
      <c r="K60" s="30" t="s">
        <v>332</v>
      </c>
    </row>
    <row r="61" spans="1:12" ht="255">
      <c r="A61" s="1">
        <f>ROWS($A$2:A61)</f>
        <v>60</v>
      </c>
      <c r="B61" s="1" t="str">
        <f t="shared" si="0"/>
        <v>Even</v>
      </c>
      <c r="C61" s="23" t="s">
        <v>333</v>
      </c>
      <c r="D61" s="23" t="s">
        <v>334</v>
      </c>
      <c r="E61" s="23" t="s">
        <v>176</v>
      </c>
      <c r="F61" s="30" t="s">
        <v>26</v>
      </c>
      <c r="G61" s="23" t="s">
        <v>195</v>
      </c>
      <c r="H61" s="23" t="s">
        <v>178</v>
      </c>
      <c r="I61" s="23" t="s">
        <v>335</v>
      </c>
      <c r="J61" s="30" t="s">
        <v>77</v>
      </c>
      <c r="K61" s="30" t="s">
        <v>336</v>
      </c>
    </row>
    <row r="62" spans="1:12" ht="102" customHeight="1">
      <c r="A62" s="1">
        <f>ROWS($A$2:A62)</f>
        <v>61</v>
      </c>
      <c r="B62" s="1" t="str">
        <f>IF(ISNUMBER(FIND("right",LOWER(C62))),"Even",
IF(ISNUMBER(FIND("left",LOWER(C62))),"Odd","Generic"))</f>
        <v>Odd</v>
      </c>
      <c r="C62" s="23" t="s">
        <v>337</v>
      </c>
      <c r="D62" s="23" t="s">
        <v>338</v>
      </c>
      <c r="E62" s="23" t="s">
        <v>176</v>
      </c>
      <c r="F62" s="30" t="s">
        <v>26</v>
      </c>
      <c r="G62" s="23" t="s">
        <v>195</v>
      </c>
      <c r="H62" s="23" t="s">
        <v>178</v>
      </c>
      <c r="I62" s="23" t="s">
        <v>339</v>
      </c>
      <c r="J62" s="30" t="s">
        <v>77</v>
      </c>
      <c r="K62" s="30" t="s">
        <v>340</v>
      </c>
    </row>
    <row r="63" spans="1:12" ht="98.65" customHeight="1">
      <c r="A63" s="1">
        <f>ROWS($A$2:A63)</f>
        <v>62</v>
      </c>
      <c r="B63" s="1" t="str">
        <f t="shared" si="0"/>
        <v>Even</v>
      </c>
      <c r="C63" s="23" t="s">
        <v>341</v>
      </c>
      <c r="D63" s="23" t="s">
        <v>342</v>
      </c>
      <c r="E63" s="23" t="s">
        <v>176</v>
      </c>
      <c r="F63" s="30" t="s">
        <v>26</v>
      </c>
      <c r="G63" s="23" t="s">
        <v>195</v>
      </c>
      <c r="H63" s="23" t="s">
        <v>178</v>
      </c>
      <c r="I63" s="23" t="s">
        <v>343</v>
      </c>
      <c r="J63" s="30" t="s">
        <v>77</v>
      </c>
      <c r="K63" s="30" t="s">
        <v>344</v>
      </c>
    </row>
    <row r="64" spans="1:12" ht="95.25" customHeight="1">
      <c r="A64" s="1">
        <f>ROWS($A$2:A64)</f>
        <v>63</v>
      </c>
      <c r="B64" s="1" t="str">
        <f t="shared" ref="B64:B80" si="1">IF(ISNUMBER(FIND("right",LOWER(C64))),"Even",
IF(ISNUMBER(FIND("left",LOWER(C64))),"Odd","Generic"))</f>
        <v>Generic</v>
      </c>
      <c r="C64" s="30" t="s">
        <v>345</v>
      </c>
      <c r="D64" s="30" t="s">
        <v>346</v>
      </c>
      <c r="E64" s="23" t="s">
        <v>176</v>
      </c>
      <c r="F64" s="30" t="s">
        <v>9</v>
      </c>
      <c r="G64" s="23" t="s">
        <v>195</v>
      </c>
      <c r="H64" s="23" t="s">
        <v>178</v>
      </c>
      <c r="I64" s="23" t="s">
        <v>347</v>
      </c>
      <c r="J64" s="30" t="s">
        <v>212</v>
      </c>
      <c r="K64" s="30" t="s">
        <v>213</v>
      </c>
    </row>
    <row r="65" spans="1:11" ht="95.25" customHeight="1">
      <c r="A65" s="1">
        <f>ROWS($A$2:A65)</f>
        <v>64</v>
      </c>
      <c r="B65" s="1" t="str">
        <f t="shared" si="1"/>
        <v>Generic</v>
      </c>
      <c r="C65" s="30" t="s">
        <v>348</v>
      </c>
      <c r="D65" s="30" t="s">
        <v>349</v>
      </c>
      <c r="E65" s="23" t="s">
        <v>176</v>
      </c>
      <c r="F65" s="30" t="s">
        <v>26</v>
      </c>
      <c r="G65" s="23" t="s">
        <v>195</v>
      </c>
      <c r="H65" s="23" t="s">
        <v>178</v>
      </c>
      <c r="I65" s="23" t="s">
        <v>350</v>
      </c>
      <c r="J65" s="30" t="s">
        <v>139</v>
      </c>
      <c r="K65" s="30" t="s">
        <v>351</v>
      </c>
    </row>
    <row r="66" spans="1:11" ht="97.5" customHeight="1">
      <c r="A66" s="1">
        <f>ROWS($A$2:A66)</f>
        <v>65</v>
      </c>
      <c r="B66" s="1" t="str">
        <f t="shared" si="1"/>
        <v>Generic</v>
      </c>
      <c r="C66" s="23" t="s">
        <v>352</v>
      </c>
      <c r="D66" s="30" t="s">
        <v>353</v>
      </c>
      <c r="E66" s="23" t="s">
        <v>176</v>
      </c>
      <c r="F66" s="30" t="s">
        <v>9</v>
      </c>
      <c r="G66" s="23" t="s">
        <v>195</v>
      </c>
      <c r="H66" s="23" t="s">
        <v>178</v>
      </c>
      <c r="I66" s="23" t="s">
        <v>354</v>
      </c>
      <c r="J66" s="30" t="s">
        <v>212</v>
      </c>
      <c r="K66" s="30" t="s">
        <v>213</v>
      </c>
    </row>
    <row r="67" spans="1:11" ht="97.5" customHeight="1">
      <c r="A67" s="1">
        <f>ROWS($A$2:A67)</f>
        <v>66</v>
      </c>
      <c r="B67" s="1" t="str">
        <f t="shared" si="1"/>
        <v>Generic</v>
      </c>
      <c r="C67" s="23" t="s">
        <v>355</v>
      </c>
      <c r="D67" s="30" t="s">
        <v>356</v>
      </c>
      <c r="E67" s="23" t="s">
        <v>176</v>
      </c>
      <c r="F67" s="30" t="s">
        <v>26</v>
      </c>
      <c r="G67" s="23" t="s">
        <v>195</v>
      </c>
      <c r="H67" s="23" t="s">
        <v>178</v>
      </c>
      <c r="I67" s="23" t="s">
        <v>357</v>
      </c>
      <c r="J67" s="30" t="s">
        <v>139</v>
      </c>
      <c r="K67" s="30" t="s">
        <v>358</v>
      </c>
    </row>
    <row r="68" spans="1:11" ht="32.65" customHeight="1">
      <c r="A68" s="1">
        <f>ROWS($A$2:A68)</f>
        <v>67</v>
      </c>
      <c r="B68" s="1" t="str">
        <f>IF(ISNUMBER(FIND("right",LOWER(C68))),"Even",
IF(ISNUMBER(FIND("left",LOWER(C68))),"Odd","Generic"))</f>
        <v>Odd</v>
      </c>
      <c r="C68" s="30" t="s">
        <v>359</v>
      </c>
      <c r="D68" s="30" t="s">
        <v>360</v>
      </c>
      <c r="E68" s="23" t="s">
        <v>176</v>
      </c>
      <c r="F68" s="30" t="s">
        <v>26</v>
      </c>
      <c r="G68" s="30" t="s">
        <v>181</v>
      </c>
      <c r="H68" s="23" t="s">
        <v>178</v>
      </c>
      <c r="I68" s="23" t="s">
        <v>361</v>
      </c>
      <c r="J68" s="23" t="s">
        <v>139</v>
      </c>
      <c r="K68" s="30"/>
    </row>
    <row r="69" spans="1:11" ht="60">
      <c r="A69" s="1">
        <f>ROWS($A$2:A69)</f>
        <v>68</v>
      </c>
      <c r="B69" s="1" t="str">
        <f t="shared" si="1"/>
        <v>Even</v>
      </c>
      <c r="C69" s="30" t="s">
        <v>362</v>
      </c>
      <c r="D69" s="30" t="s">
        <v>363</v>
      </c>
      <c r="E69" s="23" t="s">
        <v>176</v>
      </c>
      <c r="F69" s="30" t="s">
        <v>26</v>
      </c>
      <c r="G69" s="30" t="s">
        <v>181</v>
      </c>
      <c r="H69" s="23" t="s">
        <v>178</v>
      </c>
      <c r="I69" s="23" t="s">
        <v>364</v>
      </c>
      <c r="J69" s="23" t="s">
        <v>139</v>
      </c>
      <c r="K69" s="30"/>
    </row>
    <row r="70" spans="1:11" ht="165">
      <c r="A70" s="1">
        <f>ROWS($A$2:A70)</f>
        <v>69</v>
      </c>
      <c r="B70" s="1" t="str">
        <f>IF(ISNUMBER(FIND("right",LOWER(C70))),"Even",
IF(ISNUMBER(FIND("left",LOWER(C70))),"Odd","Generic"))</f>
        <v>Generic</v>
      </c>
      <c r="C70" s="30" t="s">
        <v>365</v>
      </c>
      <c r="D70" s="30" t="s">
        <v>366</v>
      </c>
      <c r="E70" s="23" t="s">
        <v>176</v>
      </c>
      <c r="F70" s="30" t="s">
        <v>26</v>
      </c>
      <c r="G70" s="23" t="s">
        <v>195</v>
      </c>
      <c r="H70" s="23" t="s">
        <v>178</v>
      </c>
      <c r="I70" s="23" t="s">
        <v>367</v>
      </c>
      <c r="J70" s="23" t="s">
        <v>139</v>
      </c>
      <c r="K70" s="30"/>
    </row>
    <row r="71" spans="1:11" ht="409.6">
      <c r="A71" s="1">
        <f>ROWS($A$2:A71)</f>
        <v>70</v>
      </c>
      <c r="B71" s="1" t="str">
        <f>IF(ISNUMBER(FIND("right",LOWER(B34))),"Even",
IF(ISNUMBER(FIND("left",LOWER(B34))),"Odd","Generic"))</f>
        <v>Generic</v>
      </c>
      <c r="C71" s="30" t="s">
        <v>368</v>
      </c>
      <c r="D71" s="30" t="s">
        <v>369</v>
      </c>
      <c r="E71" s="23" t="s">
        <v>176</v>
      </c>
      <c r="F71" s="30" t="s">
        <v>9</v>
      </c>
      <c r="G71" s="23" t="s">
        <v>195</v>
      </c>
      <c r="H71" s="23" t="s">
        <v>178</v>
      </c>
      <c r="I71" s="23" t="s">
        <v>370</v>
      </c>
      <c r="J71" s="30" t="s">
        <v>212</v>
      </c>
      <c r="K71" s="30" t="s">
        <v>371</v>
      </c>
    </row>
    <row r="72" spans="1:11" ht="123" customHeight="1">
      <c r="A72" s="1">
        <f>ROWS($A$2:A72)</f>
        <v>71</v>
      </c>
      <c r="B72" s="1" t="str">
        <f t="shared" si="1"/>
        <v>Generic</v>
      </c>
      <c r="C72" s="30" t="s">
        <v>372</v>
      </c>
      <c r="D72" s="30" t="s">
        <v>373</v>
      </c>
      <c r="E72" s="23" t="s">
        <v>176</v>
      </c>
      <c r="F72" s="30" t="s">
        <v>26</v>
      </c>
      <c r="G72" s="23" t="s">
        <v>195</v>
      </c>
      <c r="H72" s="23" t="s">
        <v>178</v>
      </c>
      <c r="I72" s="23" t="s">
        <v>374</v>
      </c>
      <c r="J72" s="30" t="s">
        <v>212</v>
      </c>
      <c r="K72" s="30" t="s">
        <v>375</v>
      </c>
    </row>
    <row r="73" spans="1:11" ht="111" customHeight="1">
      <c r="A73" s="1">
        <f>ROWS($A$2:A73)</f>
        <v>72</v>
      </c>
      <c r="B73" s="1" t="str">
        <f t="shared" si="1"/>
        <v>Generic</v>
      </c>
      <c r="C73" s="30" t="s">
        <v>376</v>
      </c>
      <c r="D73" s="30" t="s">
        <v>377</v>
      </c>
      <c r="E73" s="23" t="s">
        <v>176</v>
      </c>
      <c r="F73" s="30" t="s">
        <v>9</v>
      </c>
      <c r="G73" s="23" t="s">
        <v>195</v>
      </c>
      <c r="H73" s="23" t="s">
        <v>178</v>
      </c>
      <c r="I73" s="30" t="s">
        <v>378</v>
      </c>
      <c r="J73" s="30" t="s">
        <v>212</v>
      </c>
      <c r="K73" s="30" t="s">
        <v>213</v>
      </c>
    </row>
    <row r="74" spans="1:11" ht="111" customHeight="1">
      <c r="A74" s="1">
        <f>ROWS($A$2:A74)</f>
        <v>73</v>
      </c>
      <c r="B74" s="1" t="str">
        <f t="shared" si="1"/>
        <v>Generic</v>
      </c>
      <c r="C74" s="30" t="s">
        <v>379</v>
      </c>
      <c r="D74" s="30" t="s">
        <v>380</v>
      </c>
      <c r="E74" s="23" t="s">
        <v>176</v>
      </c>
      <c r="F74" s="30" t="s">
        <v>26</v>
      </c>
      <c r="G74" s="23" t="s">
        <v>195</v>
      </c>
      <c r="H74" s="23" t="s">
        <v>178</v>
      </c>
      <c r="I74" s="30" t="s">
        <v>381</v>
      </c>
      <c r="J74" s="30" t="s">
        <v>139</v>
      </c>
      <c r="K74" s="30" t="s">
        <v>382</v>
      </c>
    </row>
    <row r="75" spans="1:11" ht="165">
      <c r="A75" s="1">
        <f>ROWS($A$2:A75)</f>
        <v>74</v>
      </c>
      <c r="B75" s="1" t="str">
        <f t="shared" si="1"/>
        <v>Generic</v>
      </c>
      <c r="C75" s="30" t="s">
        <v>383</v>
      </c>
      <c r="D75" s="30" t="s">
        <v>384</v>
      </c>
      <c r="E75" s="23" t="s">
        <v>176</v>
      </c>
      <c r="F75" s="30" t="s">
        <v>26</v>
      </c>
      <c r="G75" s="23" t="s">
        <v>195</v>
      </c>
      <c r="H75" s="23" t="s">
        <v>178</v>
      </c>
      <c r="I75" s="30" t="s">
        <v>385</v>
      </c>
      <c r="J75" s="30" t="s">
        <v>139</v>
      </c>
      <c r="K75" s="30"/>
    </row>
    <row r="76" spans="1:11" ht="165">
      <c r="A76" s="1">
        <f>ROWS($A$2:A76)</f>
        <v>75</v>
      </c>
      <c r="B76" s="1" t="str">
        <f t="shared" si="1"/>
        <v>Generic</v>
      </c>
      <c r="C76" s="30" t="s">
        <v>386</v>
      </c>
      <c r="D76" s="30" t="s">
        <v>387</v>
      </c>
      <c r="E76" s="23" t="s">
        <v>176</v>
      </c>
      <c r="F76" s="30" t="s">
        <v>26</v>
      </c>
      <c r="G76" s="23" t="s">
        <v>195</v>
      </c>
      <c r="H76" s="23" t="s">
        <v>178</v>
      </c>
      <c r="I76" s="30" t="s">
        <v>388</v>
      </c>
      <c r="J76" s="30" t="s">
        <v>139</v>
      </c>
      <c r="K76" s="30"/>
    </row>
    <row r="77" spans="1:11" ht="195">
      <c r="A77" s="1">
        <f>ROWS($A$2:A77)</f>
        <v>76</v>
      </c>
      <c r="B77" s="1" t="str">
        <f t="shared" si="1"/>
        <v>Generic</v>
      </c>
      <c r="C77" s="30" t="s">
        <v>389</v>
      </c>
      <c r="D77" s="30" t="s">
        <v>390</v>
      </c>
      <c r="E77" s="23" t="s">
        <v>176</v>
      </c>
      <c r="F77" s="30" t="s">
        <v>9</v>
      </c>
      <c r="G77" s="23" t="s">
        <v>195</v>
      </c>
      <c r="H77" s="23" t="s">
        <v>178</v>
      </c>
      <c r="I77" s="30" t="s">
        <v>391</v>
      </c>
      <c r="J77" s="30" t="s">
        <v>22</v>
      </c>
      <c r="K77" s="24" t="s">
        <v>392</v>
      </c>
    </row>
    <row r="78" spans="1:11" ht="81.75" customHeight="1">
      <c r="A78" s="1">
        <f>ROWS($A$2:A78)</f>
        <v>77</v>
      </c>
      <c r="B78" s="1" t="str">
        <f t="shared" si="1"/>
        <v>Generic</v>
      </c>
      <c r="C78" s="30" t="s">
        <v>393</v>
      </c>
      <c r="D78" s="30" t="s">
        <v>394</v>
      </c>
      <c r="E78" s="23" t="s">
        <v>176</v>
      </c>
      <c r="F78" s="30" t="s">
        <v>26</v>
      </c>
      <c r="G78" s="23" t="s">
        <v>395</v>
      </c>
      <c r="H78" s="23" t="s">
        <v>178</v>
      </c>
      <c r="I78" s="30" t="s">
        <v>396</v>
      </c>
      <c r="J78" s="30" t="s">
        <v>139</v>
      </c>
      <c r="K78" s="30" t="s">
        <v>397</v>
      </c>
    </row>
    <row r="79" spans="1:11" ht="45">
      <c r="A79" s="1">
        <f>ROWS($A$2:A79)</f>
        <v>78</v>
      </c>
      <c r="B79" s="1" t="str">
        <f t="shared" si="1"/>
        <v>Generic</v>
      </c>
      <c r="C79" s="32" t="s">
        <v>398</v>
      </c>
      <c r="D79" s="32" t="s">
        <v>399</v>
      </c>
      <c r="E79" s="23" t="s">
        <v>176</v>
      </c>
      <c r="F79" s="30" t="s">
        <v>26</v>
      </c>
      <c r="G79" s="30" t="s">
        <v>181</v>
      </c>
      <c r="H79" s="30" t="s">
        <v>181</v>
      </c>
      <c r="I79" s="30" t="s">
        <v>400</v>
      </c>
      <c r="J79" s="30" t="s">
        <v>139</v>
      </c>
      <c r="K79" s="30"/>
    </row>
    <row r="80" spans="1:11" ht="45">
      <c r="A80" s="1">
        <f>ROWS($A$2:A80)</f>
        <v>79</v>
      </c>
      <c r="B80" s="1" t="str">
        <f t="shared" si="1"/>
        <v>Generic</v>
      </c>
      <c r="C80" s="32" t="s">
        <v>401</v>
      </c>
      <c r="D80" s="32" t="s">
        <v>402</v>
      </c>
      <c r="E80" s="23" t="s">
        <v>176</v>
      </c>
      <c r="F80" s="30" t="s">
        <v>26</v>
      </c>
      <c r="G80" s="30" t="s">
        <v>181</v>
      </c>
      <c r="H80" s="30" t="s">
        <v>181</v>
      </c>
      <c r="I80" s="30" t="s">
        <v>403</v>
      </c>
      <c r="J80" s="30" t="s">
        <v>139</v>
      </c>
      <c r="K80" s="30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800C61B9B04343A6E4256F6070B854" ma:contentTypeVersion="16" ma:contentTypeDescription="Create a new document." ma:contentTypeScope="" ma:versionID="efd503aa96124251525b8353fcd72d79">
  <xsd:schema xmlns:xsd="http://www.w3.org/2001/XMLSchema" xmlns:xs="http://www.w3.org/2001/XMLSchema" xmlns:p="http://schemas.microsoft.com/office/2006/metadata/properties" xmlns:ns2="c87600b8-ff4b-465d-a5e8-22602ffa990e" xmlns:ns3="6b399ea9-e755-480a-bd3e-ef88f14f7164" targetNamespace="http://schemas.microsoft.com/office/2006/metadata/properties" ma:root="true" ma:fieldsID="a335fd1205fce4f1eaeab270768f0aa1" ns2:_="" ns3:_="">
    <xsd:import namespace="c87600b8-ff4b-465d-a5e8-22602ffa990e"/>
    <xsd:import namespace="6b399ea9-e755-480a-bd3e-ef88f14f71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7600b8-ff4b-465d-a5e8-22602ffa99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a45dc5a-00d7-441c-859c-c738a23a64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99ea9-e755-480a-bd3e-ef88f14f716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e73874d-673c-4110-b490-ac33924d3d15}" ma:internalName="TaxCatchAll" ma:showField="CatchAllData" ma:web="6b399ea9-e755-480a-bd3e-ef88f14f7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399ea9-e755-480a-bd3e-ef88f14f7164" xsi:nil="true"/>
    <lcf76f155ced4ddcb4097134ff3c332f xmlns="c87600b8-ff4b-465d-a5e8-22602ffa99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86A4F3-1516-4172-8D37-EE32B2FBD6E4}"/>
</file>

<file path=customXml/itemProps2.xml><?xml version="1.0" encoding="utf-8"?>
<ds:datastoreItem xmlns:ds="http://schemas.openxmlformats.org/officeDocument/2006/customXml" ds:itemID="{77555A26-01F1-4414-868B-6909DEB0E5FD}"/>
</file>

<file path=customXml/itemProps3.xml><?xml version="1.0" encoding="utf-8"?>
<ds:datastoreItem xmlns:ds="http://schemas.openxmlformats.org/officeDocument/2006/customXml" ds:itemID="{C36D1098-B13F-42F4-A805-FBA7D9516F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Marcus Ong</dc:creator>
  <cp:keywords/>
  <dc:description/>
  <cp:lastModifiedBy/>
  <cp:revision/>
  <dcterms:created xsi:type="dcterms:W3CDTF">2023-12-14T10:24:12Z</dcterms:created>
  <dcterms:modified xsi:type="dcterms:W3CDTF">2026-05-23T09:07:10Z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0x0101007F800C61B9B04343A6E4256F6070B854</vt:lpwstr>
  </property>
  <property fmtid="{D5CDD505-2E9C-101B-9397-08002B2CF9AE}" pid="3" name="MediaServiceImageTags">
    <vt:lpwstr/>
  </property>
  <property fmtid="{D5CDD505-2E9C-101B-9397-08002B2CF9AE}" pid="4" name="MSIP_Label_f74bd9b1-d842-469e-a204-a1d3ffb2c933_Enabled">
    <vt:lpwstr>true</vt:lpwstr>
  </property>
  <property fmtid="{D5CDD505-2E9C-101B-9397-08002B2CF9AE}" pid="5" name="MSIP_Label_f74bd9b1-d842-469e-a204-a1d3ffb2c933_SetDate">
    <vt:lpwstr>2025-11-29T14:51:19Z</vt:lpwstr>
  </property>
  <property fmtid="{D5CDD505-2E9C-101B-9397-08002B2CF9AE}" pid="6" name="MSIP_Label_f74bd9b1-d842-469e-a204-a1d3ffb2c933_Method">
    <vt:lpwstr>Standard</vt:lpwstr>
  </property>
  <property fmtid="{D5CDD505-2E9C-101B-9397-08002B2CF9AE}" pid="7" name="MSIP_Label_f74bd9b1-d842-469e-a204-a1d3ffb2c933_Name">
    <vt:lpwstr>General</vt:lpwstr>
  </property>
  <property fmtid="{D5CDD505-2E9C-101B-9397-08002B2CF9AE}" pid="8" name="MSIP_Label_f74bd9b1-d842-469e-a204-a1d3ffb2c933_SiteId">
    <vt:lpwstr>f970e1c8-c551-4d85-839e-a3ac7d77f69c</vt:lpwstr>
  </property>
  <property fmtid="{D5CDD505-2E9C-101B-9397-08002B2CF9AE}" pid="9" name="MSIP_Label_f74bd9b1-d842-469e-a204-a1d3ffb2c933_ActionId">
    <vt:lpwstr>b1b5aced-8d24-4319-99eb-3935cb381714</vt:lpwstr>
  </property>
  <property fmtid="{D5CDD505-2E9C-101B-9397-08002B2CF9AE}" pid="10" name="MSIP_Label_f74bd9b1-d842-469e-a204-a1d3ffb2c933_ContentBits">
    <vt:lpwstr>0</vt:lpwstr>
  </property>
  <property fmtid="{D5CDD505-2E9C-101B-9397-08002B2CF9AE}" pid="11" name="MSIP_Label_f74bd9b1-d842-469e-a204-a1d3ffb2c933_Tag">
    <vt:lpwstr>10, 3, 0, 1</vt:lpwstr>
  </property>
</Properties>
</file>